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Comparativo dos níveis de protensão - mesma seção, traçado e = 28 cm</t>
        </is>
      </c>
    </row>
    <row r="2">
      <c r="A2" s="2" t="inlineStr">
        <is>
          <t>Amarelo = entrada; verde = calculado por fórmula ou vindo do motor de cálculo (valores fixos, mesma metodologia da planilha de apoio).</t>
        </is>
      </c>
    </row>
    <row r="4">
      <c r="A4" s="3" t="inlineStr">
        <is>
          <t>Item</t>
        </is>
      </c>
      <c r="B4" s="3" t="inlineStr">
        <is>
          <t>Unid.</t>
        </is>
      </c>
      <c r="C4" s="3" t="inlineStr">
        <is>
          <t>Nível 3 - completa</t>
        </is>
      </c>
      <c r="D4" s="3" t="inlineStr">
        <is>
          <t>Nível 2 - limitada</t>
        </is>
      </c>
      <c r="E4" s="3" t="inlineStr">
        <is>
          <t>Nível 1 - parcial</t>
        </is>
      </c>
    </row>
    <row r="5">
      <c r="A5" s="4" t="inlineStr">
        <is>
          <t>Cordoalhas por cabo (2 cabos)</t>
        </is>
      </c>
      <c r="B5" s="4" t="inlineStr"/>
      <c r="C5" s="5" t="n">
        <v>5</v>
      </c>
      <c r="D5" s="5" t="n">
        <v>4</v>
      </c>
      <c r="E5" s="5" t="n">
        <v>2</v>
      </c>
    </row>
    <row r="6">
      <c r="A6" s="4" t="inlineStr">
        <is>
          <t>Cordoalhas totais Ø12,7</t>
        </is>
      </c>
      <c r="B6" s="4" t="inlineStr"/>
      <c r="C6" s="6">
        <f>2*C5</f>
        <v/>
      </c>
      <c r="D6" s="6">
        <f>2*D5</f>
        <v/>
      </c>
      <c r="E6" s="6">
        <f>2*E5</f>
        <v/>
      </c>
    </row>
    <row r="7">
      <c r="A7" s="4" t="inlineStr">
        <is>
          <t>Ap</t>
        </is>
      </c>
      <c r="B7" s="4" t="inlineStr">
        <is>
          <t>cm²</t>
        </is>
      </c>
      <c r="C7" s="7">
        <f>C6*Parametros!$D$8</f>
        <v/>
      </c>
      <c r="D7" s="7">
        <f>D6*Parametros!$D$8</f>
        <v/>
      </c>
      <c r="E7" s="7">
        <f>E6*Parametros!$D$8</f>
        <v/>
      </c>
    </row>
    <row r="8">
      <c r="A8" s="4" t="inlineStr">
        <is>
          <t>Pj = σp,j·Ap</t>
        </is>
      </c>
      <c r="B8" s="4" t="inlineStr">
        <is>
          <t>kN</t>
        </is>
      </c>
      <c r="C8" s="6">
        <f>Parametros!$D$9*Parametros!$D$7*C7/10</f>
        <v/>
      </c>
      <c r="D8" s="6">
        <f>Parametros!$D$9*Parametros!$D$7*D7/10</f>
        <v/>
      </c>
      <c r="E8" s="6">
        <f>Parametros!$D$9*Parametros!$D$7*E7/10</f>
        <v/>
      </c>
    </row>
    <row r="9">
      <c r="A9" s="4" t="inlineStr">
        <is>
          <t>P∞ mínimo ao longo do cabo</t>
        </is>
      </c>
      <c r="B9" s="4" t="inlineStr">
        <is>
          <t>kN</t>
        </is>
      </c>
      <c r="C9" s="6" t="n">
        <v>939</v>
      </c>
      <c r="D9" s="6" t="n">
        <v>776</v>
      </c>
      <c r="E9" s="6" t="n">
        <v>411</v>
      </c>
    </row>
    <row r="10">
      <c r="A10" s="4" t="inlineStr">
        <is>
          <t>P∞ máximo ao longo do cabo</t>
        </is>
      </c>
      <c r="B10" s="4" t="inlineStr">
        <is>
          <t>kN</t>
        </is>
      </c>
      <c r="C10" s="6" t="n">
        <v>1050</v>
      </c>
      <c r="D10" s="6" t="n">
        <v>853</v>
      </c>
      <c r="E10" s="6" t="n">
        <v>442</v>
      </c>
    </row>
    <row r="11">
      <c r="A11" s="4" t="inlineStr">
        <is>
          <t>Carga equilibrada 8·f·P∞,mín/L²</t>
        </is>
      </c>
      <c r="B11" s="4" t="inlineStr">
        <is>
          <t>kN/m</t>
        </is>
      </c>
      <c r="C11" s="8">
        <f>8*Parametros!$D$5*C9/Parametros!$D$4^2</f>
        <v/>
      </c>
      <c r="D11" s="8">
        <f>8*Parametros!$D$5*D9/Parametros!$D$4^2</f>
        <v/>
      </c>
      <c r="E11" s="8">
        <f>8*Parametros!$D$5*E9/Parametros!$D$4^2</f>
        <v/>
      </c>
    </row>
    <row r="12">
      <c r="A12" s="4" t="inlineStr">
        <is>
          <t>Fração de g+ψ2·q equilibrada</t>
        </is>
      </c>
      <c r="B12" s="4" t="inlineStr">
        <is>
          <t>%</t>
        </is>
      </c>
      <c r="C12" s="6">
        <f>C11/Parametros!$D$6*100</f>
        <v/>
      </c>
      <c r="D12" s="6">
        <f>D11/Parametros!$D$6*100</f>
        <v/>
      </c>
      <c r="E12" s="6">
        <f>E11/Parametros!$D$6*100</f>
        <v/>
      </c>
    </row>
    <row r="13">
      <c r="A13" s="4" t="inlineStr">
        <is>
          <t>Tração máxima na comb. frequente</t>
        </is>
      </c>
      <c r="B13" s="4" t="inlineStr">
        <is>
          <t>MPa</t>
        </is>
      </c>
      <c r="C13" s="7" t="n">
        <v>-0.45</v>
      </c>
      <c r="D13" s="7" t="n">
        <v>-0.7</v>
      </c>
      <c r="E13" s="7" t="n">
        <v>3.94</v>
      </c>
    </row>
    <row r="14">
      <c r="A14" s="4" t="inlineStr">
        <is>
          <t>Margem ELS-D do critério do nível</t>
        </is>
      </c>
      <c r="B14" s="4" t="inlineStr">
        <is>
          <t>MPa</t>
        </is>
      </c>
      <c r="C14" s="7" t="n">
        <v>0.45</v>
      </c>
      <c r="D14" s="7" t="n">
        <v>1.04</v>
      </c>
      <c r="E14" s="7" t="inlineStr">
        <is>
          <t>n/a</t>
        </is>
      </c>
    </row>
    <row r="15">
      <c r="A15" s="4" t="inlineStr">
        <is>
          <t>Margem ELS-F do critério do nível</t>
        </is>
      </c>
      <c r="B15" s="4" t="inlineStr">
        <is>
          <t>MPa</t>
        </is>
      </c>
      <c r="C15" s="7" t="n">
        <v>0.6</v>
      </c>
      <c r="D15" s="7" t="n">
        <v>3.14</v>
      </c>
      <c r="E15" s="7" t="inlineStr">
        <is>
          <t>n/a</t>
        </is>
      </c>
    </row>
    <row r="16">
      <c r="A16" s="4" t="inlineStr">
        <is>
          <t>Seção fissura na comb. frequente?</t>
        </is>
      </c>
      <c r="B16" s="4" t="inlineStr"/>
      <c r="C16" s="9">
        <f>IF(C13&gt;Parametros!$D$12,"sim","não")</f>
        <v/>
      </c>
      <c r="D16" s="9">
        <f>IF(D13&gt;Parametros!$D$12,"sim","não")</f>
        <v/>
      </c>
      <c r="E16" s="9">
        <f>IF(E13&gt;Parametros!$D$12,"sim (apoio B)","não")</f>
        <v/>
      </c>
    </row>
    <row r="17">
      <c r="A17" s="4" t="inlineStr">
        <is>
          <t>Atende ao nível 3?</t>
        </is>
      </c>
      <c r="B17" s="4" t="inlineStr"/>
      <c r="C17" s="9" t="inlineStr">
        <is>
          <t>sim</t>
        </is>
      </c>
      <c r="D17" s="9" t="inlineStr">
        <is>
          <t>não (rara excede 1,49 MPa)</t>
        </is>
      </c>
      <c r="E17" s="9" t="inlineStr">
        <is>
          <t>não</t>
        </is>
      </c>
    </row>
    <row r="18">
      <c r="A18" s="4" t="inlineStr">
        <is>
          <t>Atende ao nível 2?</t>
        </is>
      </c>
      <c r="B18" s="4" t="inlineStr"/>
      <c r="C18" s="9" t="inlineStr">
        <is>
          <t>sim</t>
        </is>
      </c>
      <c r="D18" s="9" t="inlineStr">
        <is>
          <t>sim</t>
        </is>
      </c>
      <c r="E18" s="9" t="inlineStr">
        <is>
          <t>não (quase permanente)</t>
        </is>
      </c>
    </row>
    <row r="19">
      <c r="A19" s="4" t="inlineStr">
        <is>
          <t>Armadura passiva do ato, face inferior sobre B (σs = 250 MPa)</t>
        </is>
      </c>
      <c r="B19" s="4" t="inlineStr">
        <is>
          <t>cm²</t>
        </is>
      </c>
      <c r="C19" s="8" t="n">
        <v>4.9</v>
      </c>
      <c r="D19" s="8" t="n">
        <v>3.2</v>
      </c>
      <c r="E19" s="8" t="n">
        <v>0</v>
      </c>
    </row>
    <row r="20">
      <c r="A20" s="4" t="inlineStr">
        <is>
          <t>Passiva no ELU no apoio B</t>
        </is>
      </c>
      <c r="B20" s="4" t="inlineStr"/>
      <c r="C20" s="9" t="inlineStr">
        <is>
          <t>A' = 4,9 cm² (compressão)</t>
        </is>
      </c>
      <c r="D20" s="9" t="inlineStr">
        <is>
          <t>2 Ø16 = 4,0 cm²</t>
        </is>
      </c>
      <c r="E20" s="9" t="inlineStr">
        <is>
          <t>4 Ø20 = 12,6 cm²</t>
        </is>
      </c>
    </row>
    <row r="21">
      <c r="A21" s="4" t="inlineStr">
        <is>
          <t>Passiva no ELU no vão</t>
        </is>
      </c>
      <c r="B21" s="4" t="inlineStr"/>
      <c r="C21" s="9" t="inlineStr">
        <is>
          <t>A' = 2,5 cm² (compressão)</t>
        </is>
      </c>
      <c r="D21" s="9" t="inlineStr">
        <is>
          <t>não necessária</t>
        </is>
      </c>
      <c r="E21" s="9" t="inlineStr">
        <is>
          <t>2 Ø20 = 6,3 cm²</t>
        </is>
      </c>
    </row>
    <row r="22">
      <c r="A22" s="4" t="inlineStr">
        <is>
          <t>MRd/Msd no apoio B</t>
        </is>
      </c>
      <c r="B22" s="4" t="inlineStr"/>
      <c r="C22" s="7" t="n">
        <v>1.26</v>
      </c>
      <c r="D22" s="7" t="n">
        <v>1.14</v>
      </c>
      <c r="E22" s="7" t="n">
        <v>1.01</v>
      </c>
    </row>
    <row r="23">
      <c r="A23" s="4" t="inlineStr">
        <is>
          <t>MRd/Msd no vão</t>
        </is>
      </c>
      <c r="B23" s="4" t="inlineStr"/>
      <c r="C23" s="7" t="n">
        <v>1.6</v>
      </c>
      <c r="D23" s="7" t="n">
        <v>1.31</v>
      </c>
      <c r="E23" s="7" t="n">
        <v>1.09</v>
      </c>
    </row>
    <row r="24">
      <c r="A24" s="4" t="inlineStr">
        <is>
          <t>wk na comb. frequente (apoio B)</t>
        </is>
      </c>
      <c r="B24" s="4" t="inlineStr">
        <is>
          <t>mm</t>
        </is>
      </c>
      <c r="C24" s="7" t="inlineStr">
        <is>
          <t>não fissura</t>
        </is>
      </c>
      <c r="D24" s="7" t="inlineStr">
        <is>
          <t>não fissura</t>
        </is>
      </c>
      <c r="E24" s="7" t="n">
        <v>0.03</v>
      </c>
    </row>
    <row r="25">
      <c r="A25" s="4" t="inlineStr">
        <is>
          <t>wk ≤ limite?</t>
        </is>
      </c>
      <c r="B25" s="4" t="inlineStr"/>
      <c r="C25" s="9" t="inlineStr">
        <is>
          <t>—</t>
        </is>
      </c>
      <c r="D25" s="9" t="inlineStr">
        <is>
          <t>—</t>
        </is>
      </c>
      <c r="E25" s="9">
        <f>IF(E24&lt;=Parametros!$D$13,"sim","não")</f>
        <v/>
      </c>
    </row>
    <row r="26">
      <c r="A26" s="4" t="inlineStr">
        <is>
          <t>Flecha final quase permanente (+ para baixo)</t>
        </is>
      </c>
      <c r="B26" s="4" t="inlineStr">
        <is>
          <t>mm</t>
        </is>
      </c>
      <c r="C26" s="8" t="n">
        <v>-2.8</v>
      </c>
      <c r="D26" s="8" t="n">
        <v>-0.2</v>
      </c>
      <c r="E26" s="8" t="n">
        <v>5.4</v>
      </c>
    </row>
    <row r="27">
      <c r="A27" s="4" t="inlineStr">
        <is>
          <t>Massa de aço ativo</t>
        </is>
      </c>
      <c r="B27" s="4" t="inlineStr">
        <is>
          <t>kg</t>
        </is>
      </c>
      <c r="C27" s="6">
        <f>C6*Parametros!$D$10*Parametros!$D$11</f>
        <v/>
      </c>
      <c r="D27" s="6">
        <f>D6*Parametros!$D$10*Parametros!$D$11</f>
        <v/>
      </c>
      <c r="E27" s="6">
        <f>E6*Parametros!$D$10*Parametros!$D$11</f>
        <v/>
      </c>
    </row>
    <row r="28">
      <c r="A28" s="4" t="inlineStr">
        <is>
          <t>P∞ em x = 4 m</t>
        </is>
      </c>
      <c r="B28" s="4" t="inlineStr">
        <is>
          <t>kN</t>
        </is>
      </c>
      <c r="C28" s="6" t="n">
        <v>942</v>
      </c>
      <c r="D28" s="6" t="n">
        <v>779</v>
      </c>
      <c r="E28" s="6" t="n">
        <v>416</v>
      </c>
    </row>
    <row r="29">
      <c r="A29" s="4" t="inlineStr">
        <is>
          <t>P∞ no apoio central B</t>
        </is>
      </c>
      <c r="B29" s="4" t="inlineStr">
        <is>
          <t>kN</t>
        </is>
      </c>
      <c r="C29" s="6" t="n">
        <v>976</v>
      </c>
      <c r="D29" s="6" t="n">
        <v>806</v>
      </c>
      <c r="E29" s="6" t="n">
        <v>431</v>
      </c>
    </row>
    <row r="30">
      <c r="A30" s="4" t="inlineStr">
        <is>
          <t>Diâmetro externo da bainha (níveis 2 e 1: adotado)</t>
        </is>
      </c>
      <c r="B30" s="4" t="inlineStr">
        <is>
          <t>mm</t>
        </is>
      </c>
      <c r="C30" s="6" t="n">
        <v>61</v>
      </c>
      <c r="D30" s="6" t="n">
        <v>55</v>
      </c>
      <c r="E30" s="6" t="n">
        <v>45</v>
      </c>
    </row>
    <row r="31">
      <c r="A31" s="4" t="inlineStr">
        <is>
          <t>Alongamento por extremidade (depende só do atrito)</t>
        </is>
      </c>
      <c r="B31" s="4" t="inlineStr">
        <is>
          <t>mm</t>
        </is>
      </c>
      <c r="C31" s="8" t="n">
        <v>67.40000000000001</v>
      </c>
      <c r="D31" s="8" t="n">
        <v>67.40000000000001</v>
      </c>
      <c r="E31" s="8" t="n">
        <v>67.40000000000001</v>
      </c>
    </row>
    <row r="32">
      <c r="A32" s="4" t="inlineStr">
        <is>
          <t>Desenho DXF 1:50 (A2)</t>
        </is>
      </c>
      <c r="B32" s="4" t="inlineStr"/>
      <c r="C32" s="9" t="inlineStr">
        <is>
          <t>Viga_Continua_CP_Forma_e_Cabos.dxf</t>
        </is>
      </c>
      <c r="D32" s="9" t="inlineStr">
        <is>
          <t>Viga_Continua_CP_Nivel2_Forma_e_Cabos.dxf</t>
        </is>
      </c>
      <c r="E32" s="9" t="inlineStr">
        <is>
          <t>Viga_Continua_CP_Nivel1_Forma_e_Cabos.dxf</t>
        </is>
      </c>
    </row>
    <row r="33">
      <c r="A33" s="4" t="inlineStr">
        <is>
          <t>Tração máxima na comb. quase permanente</t>
        </is>
      </c>
      <c r="B33" s="4" t="inlineStr">
        <is>
          <t>MPa</t>
        </is>
      </c>
      <c r="C33" s="7" t="n">
        <v>-0.45</v>
      </c>
      <c r="D33" s="7" t="n">
        <v>-1.04</v>
      </c>
      <c r="E33" s="7" t="n">
        <v>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12" customWidth="1" min="4" max="4"/>
  </cols>
  <sheetData>
    <row r="1">
      <c r="A1" s="1" t="inlineStr">
        <is>
          <t>Parâmetros comuns (viga contínua 2 × 10 m, 30×90, C30, CAA II)</t>
        </is>
      </c>
    </row>
    <row r="3">
      <c r="A3" s="3" t="inlineStr">
        <is>
          <t>Símbolo</t>
        </is>
      </c>
      <c r="B3" s="3" t="inlineStr">
        <is>
          <t>Descrição</t>
        </is>
      </c>
      <c r="C3" s="3" t="inlineStr">
        <is>
          <t>Unid.</t>
        </is>
      </c>
      <c r="D3" s="3" t="inlineStr">
        <is>
          <t>Valor</t>
        </is>
      </c>
    </row>
    <row r="4">
      <c r="A4" t="inlineStr">
        <is>
          <t>L</t>
        </is>
      </c>
      <c r="B4" t="inlineStr">
        <is>
          <t>Vão de cada tramo</t>
        </is>
      </c>
      <c r="C4" t="inlineStr">
        <is>
          <t>m</t>
        </is>
      </c>
      <c r="D4" s="10" t="n">
        <v>10</v>
      </c>
    </row>
    <row r="5">
      <c r="A5" t="inlineStr">
        <is>
          <t>f</t>
        </is>
      </c>
      <c r="B5" t="inlineStr">
        <is>
          <t>Flecha do cabo f = e_vão + e_sup/2</t>
        </is>
      </c>
      <c r="C5" t="inlineStr">
        <is>
          <t>m</t>
        </is>
      </c>
      <c r="D5" s="10" t="n">
        <v>0.42</v>
      </c>
    </row>
    <row r="6">
      <c r="A6" t="inlineStr">
        <is>
          <t>pbal</t>
        </is>
      </c>
      <c r="B6" t="inlineStr">
        <is>
          <t>Carga a equilibrar g + ψ2·q</t>
        </is>
      </c>
      <c r="C6" t="inlineStr">
        <is>
          <t>kN/m</t>
        </is>
      </c>
      <c r="D6" s="10" t="n">
        <v>27.5</v>
      </c>
    </row>
    <row r="7">
      <c r="A7" t="inlineStr">
        <is>
          <t>fptk</t>
        </is>
      </c>
      <c r="B7" t="inlineStr">
        <is>
          <t>fptk (CP190 RB)</t>
        </is>
      </c>
      <c r="C7" t="inlineStr">
        <is>
          <t>MPa</t>
        </is>
      </c>
      <c r="D7" s="10" t="n">
        <v>1900</v>
      </c>
    </row>
    <row r="8">
      <c r="A8" t="inlineStr">
        <is>
          <t>Ap1</t>
        </is>
      </c>
      <c r="B8" t="inlineStr">
        <is>
          <t>Área de 1 cordoalha Ø12,7</t>
        </is>
      </c>
      <c r="C8" t="inlineStr">
        <is>
          <t>cm²</t>
        </is>
      </c>
      <c r="D8" s="10" t="n">
        <v>0.987</v>
      </c>
    </row>
    <row r="9">
      <c r="A9" t="inlineStr">
        <is>
          <t>sj</t>
        </is>
      </c>
      <c r="B9" t="inlineStr">
        <is>
          <t>σp,j / fptk</t>
        </is>
      </c>
      <c r="C9" t="inlineStr"/>
      <c r="D9" s="10" t="n">
        <v>0.74</v>
      </c>
    </row>
    <row r="10">
      <c r="A10" t="inlineStr">
        <is>
          <t>Lcab</t>
        </is>
      </c>
      <c r="B10" t="inlineStr">
        <is>
          <t>Comprimento do cabo</t>
        </is>
      </c>
      <c r="C10" t="inlineStr">
        <is>
          <t>m</t>
        </is>
      </c>
      <c r="D10" s="10" t="n">
        <v>20.09</v>
      </c>
    </row>
    <row r="11">
      <c r="A11" t="inlineStr">
        <is>
          <t>mlin</t>
        </is>
      </c>
      <c r="B11" t="inlineStr">
        <is>
          <t>Massa linear de 1 cordoalha</t>
        </is>
      </c>
      <c r="C11" t="inlineStr">
        <is>
          <t>kg/m</t>
        </is>
      </c>
      <c r="D11" s="10" t="n">
        <v>0.793</v>
      </c>
    </row>
    <row r="12">
      <c r="A12" t="inlineStr">
        <is>
          <t>ft</t>
        </is>
      </c>
      <c r="B12" t="inlineStr">
        <is>
          <t>Limite de tração 1,2·fctk,inf</t>
        </is>
      </c>
      <c r="C12" t="inlineStr">
        <is>
          <t>MPa</t>
        </is>
      </c>
      <c r="D12" s="10" t="n">
        <v>2.43</v>
      </c>
    </row>
    <row r="13">
      <c r="A13" t="inlineStr">
        <is>
          <t>wlim</t>
        </is>
      </c>
      <c r="B13" t="inlineStr">
        <is>
          <t>Abertura-limite (CAA II)</t>
        </is>
      </c>
      <c r="C13" t="inlineStr">
        <is>
          <t>mm</t>
        </is>
      </c>
      <c r="D13" s="10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Níveis de protensão - NBR 6118, Tab. 13.4 (pós-tração, CAA II)</t>
        </is>
      </c>
    </row>
    <row r="3">
      <c r="A3" s="11" t="inlineStr">
        <is>
          <t>Nível</t>
        </is>
      </c>
      <c r="B3" s="11" t="inlineStr">
        <is>
          <t>Protensão</t>
        </is>
      </c>
      <c r="C3" s="11" t="inlineStr">
        <is>
          <t>ELS-D (descompressão)</t>
        </is>
      </c>
      <c r="D3" s="11" t="inlineStr">
        <is>
          <t>ELS-F (formação de fissuras)</t>
        </is>
      </c>
      <c r="E3" s="11" t="inlineStr">
        <is>
          <t>ELS-W (abertura de fissuras)</t>
        </is>
      </c>
    </row>
    <row r="4">
      <c r="A4" s="9" t="inlineStr">
        <is>
          <t>3</t>
        </is>
      </c>
      <c r="B4" s="9" t="inlineStr">
        <is>
          <t>Completa</t>
        </is>
      </c>
      <c r="C4" s="9" t="inlineStr">
        <is>
          <t>Comb. frequente: σ ≤ 0</t>
        </is>
      </c>
      <c r="D4" s="9" t="inlineStr">
        <is>
          <t>Comb. rara: σ ≤ 1,2·fctk,inf</t>
        </is>
      </c>
      <c r="E4" s="9" t="inlineStr">
        <is>
          <t>não exigido</t>
        </is>
      </c>
    </row>
    <row r="5">
      <c r="A5" s="9" t="inlineStr">
        <is>
          <t>2</t>
        </is>
      </c>
      <c r="B5" s="9" t="inlineStr">
        <is>
          <t>Limitada</t>
        </is>
      </c>
      <c r="C5" s="9" t="inlineStr">
        <is>
          <t>Comb. quase permanente: σ ≤ 0</t>
        </is>
      </c>
      <c r="D5" s="9" t="inlineStr">
        <is>
          <t>Comb. frequente: σ ≤ 1,2·fctk,inf</t>
        </is>
      </c>
      <c r="E5" s="9" t="inlineStr">
        <is>
          <t>não exigido</t>
        </is>
      </c>
    </row>
    <row r="6">
      <c r="A6" s="9" t="inlineStr">
        <is>
          <t>1</t>
        </is>
      </c>
      <c r="B6" s="9" t="inlineStr">
        <is>
          <t>Parcial</t>
        </is>
      </c>
      <c r="C6" s="9" t="inlineStr">
        <is>
          <t>não exigido</t>
        </is>
      </c>
      <c r="D6" s="9" t="inlineStr">
        <is>
          <t>não exigido</t>
        </is>
      </c>
      <c r="E6" s="9" t="inlineStr">
        <is>
          <t>Comb. frequente: wk ≤ 0,2 mm</t>
        </is>
      </c>
    </row>
    <row r="8">
      <c r="A8" s="2" t="inlineStr">
        <is>
          <t>Nível 2 é o mínimo indicado para pós-tração em CAA II. CF = combinação frequente (CFQ nas aulas), CQP = quase permanente, CR = rara.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Notas e ressalvas</t>
        </is>
      </c>
    </row>
    <row r="3">
      <c r="A3" s="12" t="inlineStr">
        <is>
          <t>• Com 8 cordoalhas a viga atende ao nível 2, mas não ao 3: a tração na combinação rara excede o limite em 1,49 MPa.</t>
        </is>
      </c>
    </row>
    <row r="4">
      <c r="A4" s="12" t="inlineStr">
        <is>
          <t>• Com 6 cordoalhas já não há descompressão na quase permanente (violação de 0,77 MPa).</t>
        </is>
      </c>
    </row>
    <row r="5">
      <c r="A5" s="12" t="inlineStr">
        <is>
          <t>• Nível 1: o apoio B fissura sob a combinação frequente (3,94 MPa &gt; 2,43 MPa), mas wk = 0,03 mm, abaixo de 0,2 mm, porque a armadura passiva do ELU (4 Ø20) é grande.</t>
        </is>
      </c>
    </row>
    <row r="6">
      <c r="A6" s="12" t="inlineStr">
        <is>
          <t>• Fissuração calculada na seção fissurada com a protensão como carga externa; o acréscimo de tensão do cabo aderente foi desprezado.</t>
        </is>
      </c>
    </row>
    <row r="7">
      <c r="A7" s="12" t="inlineStr">
        <is>
          <t>• Cisalhamento, ancoragens e armadura mínima não foram reavaliados para as soluções dos níveis 1 e 2.</t>
        </is>
      </c>
    </row>
    <row r="8">
      <c r="A8" s="12" t="inlineStr">
        <is>
          <t>• g adicional = 13,25 kN/m e q = 25 kN/m seguem como valores adotados, a confirmar com a viga biapoiada.</t>
        </is>
      </c>
    </row>
    <row r="9">
      <c r="A9" s="12" t="inlineStr">
        <is>
          <t>• Diâmetros de bainha dos níveis 2 e 1 (55 e 45 mm) são adotados e devem ser confirmados com o fornecedor.</t>
        </is>
      </c>
    </row>
    <row r="10">
      <c r="A10" s="12" t="inlineStr">
        <is>
          <t>• Valores fixos vêm de Planilha_Apoio_Viga_Continua_CP.xlsx (abas Niveis e Niveis_Comparativo).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2026-10-05T13:42:52Z</dcterms:created>
  <dcterms:modified xmlns:dcterms="http://purl.org/dc/terms/" xmlns:xsi="http://www.w3.org/2001/XMLSchema-instance" xsi:type="dcterms:W3CDTF">2026-10-05T13:42:52Z</dcterms:modified>
</cp:coreProperties>
</file>