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Esforcos" sheetId="2" state="visible" r:id="rId2"/>
    <sheet xmlns:r="http://schemas.openxmlformats.org/officeDocument/2006/relationships" name="Tracado_Perdas" sheetId="3" state="visible" r:id="rId3"/>
    <sheet xmlns:r="http://schemas.openxmlformats.org/officeDocument/2006/relationships" name="Hiperestatico" sheetId="4" state="visible" r:id="rId4"/>
    <sheet xmlns:r="http://schemas.openxmlformats.org/officeDocument/2006/relationships" name="Tensoes" sheetId="5" state="visible" r:id="rId5"/>
    <sheet xmlns:r="http://schemas.openxmlformats.org/officeDocument/2006/relationships" name="Fuso" sheetId="6" state="visible" r:id="rId6"/>
    <sheet xmlns:r="http://schemas.openxmlformats.org/officeDocument/2006/relationships" name="Cortante" sheetId="7" state="visible" r:id="rId7"/>
    <sheet xmlns:r="http://schemas.openxmlformats.org/officeDocument/2006/relationships" name="ELU" sheetId="8" state="visible" r:id="rId8"/>
    <sheet xmlns:r="http://schemas.openxmlformats.org/officeDocument/2006/relationships" name="Alongamento" sheetId="9" state="visible" r:id="rId9"/>
    <sheet xmlns:r="http://schemas.openxmlformats.org/officeDocument/2006/relationships" name="Flecha_PC" sheetId="10" state="visible" r:id="rId10"/>
    <sheet xmlns:r="http://schemas.openxmlformats.org/officeDocument/2006/relationships" name="CA" sheetId="11" state="visible" r:id="rId11"/>
    <sheet xmlns:r="http://schemas.openxmlformats.org/officeDocument/2006/relationships" name="CA_Flecha" sheetId="12" state="visible" r:id="rId12"/>
    <sheet xmlns:r="http://schemas.openxmlformats.org/officeDocument/2006/relationships" name="Niveis" sheetId="13" state="visible" r:id="rId13"/>
    <sheet xmlns:r="http://schemas.openxmlformats.org/officeDocument/2006/relationships" name="Niveis_Comparativo" sheetId="14" state="visible" r:id="rId1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0.0000"/>
    <numFmt numFmtId="165" formatCode="0.0"/>
    <numFmt numFmtId="166" formatCode="0.00000"/>
    <numFmt numFmtId="167" formatCode="0.000"/>
    <numFmt numFmtId="168" formatCode="0.0000000"/>
    <numFmt numFmtId="169" formatCode="0.000000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F3864"/>
      <sz val="14"/>
    </font>
    <font>
      <name val="Cambria"/>
      <charset val="1"/>
      <family val="0"/>
      <i val="1"/>
      <sz val="9"/>
    </font>
    <font>
      <name val="Calibri"/>
      <charset val="1"/>
      <family val="0"/>
      <b val="1"/>
      <sz val="10"/>
    </font>
    <font>
      <name val="Cambria"/>
      <charset val="1"/>
      <family val="0"/>
      <color rgb="FF808080"/>
      <sz val="8"/>
    </font>
    <font>
      <name val="Calibri"/>
      <charset val="1"/>
      <family val="0"/>
      <sz val="10"/>
    </font>
    <font>
      <name val="Cambria"/>
      <charset val="1"/>
      <family val="0"/>
      <i val="1"/>
      <color rgb="FF595959"/>
      <sz val="9"/>
    </font>
    <font>
      <name val="Cambria"/>
      <charset val="1"/>
      <family val="0"/>
      <i val="1"/>
      <color rgb="FFC00000"/>
      <sz val="9"/>
    </font>
    <font>
      <name val="Cambria"/>
      <charset val="1"/>
      <family val="0"/>
      <b val="1"/>
      <color rgb="FF1F3864"/>
      <sz val="13"/>
    </font>
    <font>
      <name val="Calibri"/>
      <charset val="1"/>
      <family val="0"/>
      <b val="1"/>
      <color rgb="FFFFFFFF"/>
      <sz val="10"/>
    </font>
    <font>
      <name val="Cambria"/>
      <charset val="1"/>
      <family val="0"/>
      <i val="1"/>
      <sz val="8"/>
    </font>
    <font>
      <name val="Cambria"/>
      <charset val="1"/>
      <family val="0"/>
      <sz val="8"/>
    </font>
  </fonts>
  <fills count="6">
    <fill>
      <patternFill/>
    </fill>
    <fill>
      <patternFill patternType="gray125"/>
    </fill>
    <fill>
      <patternFill patternType="solid">
        <fgColor rgb="FFD9D9D9"/>
        <bgColor rgb="FFDCE6F1"/>
      </patternFill>
    </fill>
    <fill>
      <patternFill patternType="solid">
        <fgColor rgb="FFFFF2CC"/>
        <bgColor rgb="FFFFFFFF"/>
      </patternFill>
    </fill>
    <fill>
      <patternFill patternType="solid">
        <fgColor rgb="FFDCE6F1"/>
        <bgColor rgb="FFD9D9D9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164" fontId="0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4" fontId="8" fillId="3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4" fontId="8" fillId="4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5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bottom"/>
    </xf>
    <xf numFmtId="1" fontId="8" fillId="0" borderId="1" applyAlignment="1" pivotButton="0" quotePrefix="0" xfId="0">
      <alignment horizontal="general" vertical="bottom"/>
    </xf>
    <xf numFmtId="165" fontId="8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166" fontId="8" fillId="0" borderId="1" applyAlignment="1" pivotButton="0" quotePrefix="0" xfId="0">
      <alignment horizontal="general" vertical="bottom"/>
    </xf>
    <xf numFmtId="167" fontId="8" fillId="0" borderId="1" applyAlignment="1" pivotButton="0" quotePrefix="0" xfId="0">
      <alignment horizontal="general" vertical="bottom"/>
    </xf>
    <xf numFmtId="2" fontId="8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2" fontId="0" fillId="4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12" fillId="5" borderId="0" applyAlignment="1" pivotButton="0" quotePrefix="0" xfId="0">
      <alignment horizontal="general" vertical="bottom"/>
    </xf>
    <xf numFmtId="2" fontId="8" fillId="3" borderId="1" applyAlignment="1" pivotButton="0" quotePrefix="0" xfId="0">
      <alignment horizontal="general" vertical="bottom"/>
    </xf>
    <xf numFmtId="167" fontId="8" fillId="3" borderId="1" applyAlignment="1" pivotButton="0" quotePrefix="0" xfId="0">
      <alignment horizontal="general" vertical="bottom"/>
    </xf>
    <xf numFmtId="165" fontId="8" fillId="4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general" vertical="bottom"/>
    </xf>
    <xf numFmtId="2" fontId="8" fillId="4" borderId="1" applyAlignment="1" pivotButton="0" quotePrefix="0" xfId="0">
      <alignment horizontal="general" vertical="bottom"/>
    </xf>
    <xf numFmtId="2" fontId="0" fillId="4" borderId="1" applyAlignment="1" pivotButton="0" quotePrefix="0" xfId="0">
      <alignment horizontal="general" vertical="bottom"/>
    </xf>
    <xf numFmtId="168" fontId="8" fillId="0" borderId="1" applyAlignment="1" pivotButton="0" quotePrefix="0" xfId="0">
      <alignment horizontal="general" vertical="bottom"/>
    </xf>
    <xf numFmtId="169" fontId="8" fillId="0" borderId="1" applyAlignment="1" pivotButton="0" quotePrefix="0" xfId="0">
      <alignment horizontal="general" vertical="bottom"/>
    </xf>
    <xf numFmtId="1" fontId="8" fillId="3" borderId="1" applyAlignment="1" pivotButton="0" quotePrefix="0" xfId="0">
      <alignment horizontal="general" vertical="bottom"/>
    </xf>
    <xf numFmtId="167" fontId="8" fillId="4" borderId="1" applyAlignment="1" pivotButton="0" quotePrefix="0" xfId="0">
      <alignment horizontal="general" vertical="bottom"/>
    </xf>
    <xf numFmtId="167" fontId="0" fillId="4" borderId="0" applyAlignment="1" pivotButton="0" quotePrefix="0" xfId="0">
      <alignment horizontal="general" vertical="bottom"/>
    </xf>
    <xf numFmtId="0" fontId="8" fillId="4" borderId="0" applyAlignment="1" pivotButton="0" quotePrefix="0" xfId="0">
      <alignment horizontal="general" vertical="bottom"/>
    </xf>
    <xf numFmtId="0" fontId="12" fillId="5" borderId="0" applyAlignment="1" pivotButton="0" quotePrefix="0" xfId="0">
      <alignment horizontal="center" vertical="bottom" wrapText="1"/>
    </xf>
    <xf numFmtId="0" fontId="8" fillId="0" borderId="1" applyAlignment="1" pivotButton="0" quotePrefix="0" xfId="0">
      <alignment horizontal="center" vertical="bottom" wrapText="1"/>
    </xf>
    <xf numFmtId="0" fontId="8" fillId="3" borderId="1" applyAlignment="1" pivotButton="0" quotePrefix="0" xfId="0">
      <alignment horizontal="center" vertical="bottom" wrapText="1"/>
    </xf>
    <xf numFmtId="1" fontId="8" fillId="4" borderId="1" applyAlignment="1" pivotButton="0" quotePrefix="0" xfId="0">
      <alignment horizontal="center" vertical="bottom" wrapText="1"/>
    </xf>
    <xf numFmtId="2" fontId="8" fillId="4" borderId="1" applyAlignment="1" pivotButton="0" quotePrefix="0" xfId="0">
      <alignment horizontal="center" vertical="bottom" wrapText="1"/>
    </xf>
    <xf numFmtId="0" fontId="8" fillId="4" borderId="1" applyAlignment="1" pivotButton="0" quotePrefix="0" xfId="0">
      <alignment horizontal="center" vertical="bottom" wrapText="1"/>
    </xf>
    <xf numFmtId="165" fontId="8" fillId="4" borderId="1" applyAlignment="1" pivotButton="0" quotePrefix="0" xfId="0">
      <alignment horizontal="center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164" fontId="0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4" fontId="8" fillId="3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4" fontId="8" fillId="4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5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bottom"/>
    </xf>
    <xf numFmtId="1" fontId="8" fillId="0" borderId="1" applyAlignment="1" pivotButton="0" quotePrefix="0" xfId="0">
      <alignment horizontal="general" vertical="bottom"/>
    </xf>
    <xf numFmtId="165" fontId="8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166" fontId="8" fillId="0" borderId="1" applyAlignment="1" pivotButton="0" quotePrefix="0" xfId="0">
      <alignment horizontal="general" vertical="bottom"/>
    </xf>
    <xf numFmtId="167" fontId="8" fillId="0" borderId="1" applyAlignment="1" pivotButton="0" quotePrefix="0" xfId="0">
      <alignment horizontal="general" vertical="bottom"/>
    </xf>
    <xf numFmtId="2" fontId="8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2" fontId="0" fillId="4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12" fillId="5" borderId="0" applyAlignment="1" pivotButton="0" quotePrefix="0" xfId="0">
      <alignment horizontal="general" vertical="bottom"/>
    </xf>
    <xf numFmtId="2" fontId="8" fillId="3" borderId="1" applyAlignment="1" pivotButton="0" quotePrefix="0" xfId="0">
      <alignment horizontal="general" vertical="bottom"/>
    </xf>
    <xf numFmtId="167" fontId="8" fillId="3" borderId="1" applyAlignment="1" pivotButton="0" quotePrefix="0" xfId="0">
      <alignment horizontal="general" vertical="bottom"/>
    </xf>
    <xf numFmtId="165" fontId="8" fillId="4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general" vertical="bottom"/>
    </xf>
    <xf numFmtId="2" fontId="8" fillId="4" borderId="1" applyAlignment="1" pivotButton="0" quotePrefix="0" xfId="0">
      <alignment horizontal="general" vertical="bottom"/>
    </xf>
    <xf numFmtId="2" fontId="0" fillId="4" borderId="1" applyAlignment="1" pivotButton="0" quotePrefix="0" xfId="0">
      <alignment horizontal="general" vertical="bottom"/>
    </xf>
    <xf numFmtId="168" fontId="8" fillId="0" borderId="1" applyAlignment="1" pivotButton="0" quotePrefix="0" xfId="0">
      <alignment horizontal="general" vertical="bottom"/>
    </xf>
    <xf numFmtId="169" fontId="8" fillId="0" borderId="1" applyAlignment="1" pivotButton="0" quotePrefix="0" xfId="0">
      <alignment horizontal="general" vertical="bottom"/>
    </xf>
    <xf numFmtId="1" fontId="8" fillId="3" borderId="1" applyAlignment="1" pivotButton="0" quotePrefix="0" xfId="0">
      <alignment horizontal="general" vertical="bottom"/>
    </xf>
    <xf numFmtId="167" fontId="8" fillId="4" borderId="1" applyAlignment="1" pivotButton="0" quotePrefix="0" xfId="0">
      <alignment horizontal="general" vertical="bottom"/>
    </xf>
    <xf numFmtId="167" fontId="0" fillId="4" borderId="0" applyAlignment="1" pivotButton="0" quotePrefix="0" xfId="0">
      <alignment horizontal="general" vertical="bottom"/>
    </xf>
    <xf numFmtId="0" fontId="8" fillId="4" borderId="0" applyAlignment="1" pivotButton="0" quotePrefix="0" xfId="0">
      <alignment horizontal="general" vertical="bottom"/>
    </xf>
    <xf numFmtId="0" fontId="12" fillId="5" borderId="0" applyAlignment="1" pivotButton="0" quotePrefix="0" xfId="0">
      <alignment horizontal="center" vertical="bottom" wrapText="1"/>
    </xf>
    <xf numFmtId="0" fontId="8" fillId="0" borderId="1" applyAlignment="1" pivotButton="0" quotePrefix="0" xfId="0">
      <alignment horizontal="center" vertical="bottom" wrapText="1"/>
    </xf>
    <xf numFmtId="0" fontId="8" fillId="3" borderId="1" applyAlignment="1" pivotButton="0" quotePrefix="0" xfId="0">
      <alignment horizontal="center" vertical="bottom" wrapText="1"/>
    </xf>
    <xf numFmtId="1" fontId="8" fillId="4" borderId="1" applyAlignment="1" pivotButton="0" quotePrefix="0" xfId="0">
      <alignment horizontal="center" vertical="bottom" wrapText="1"/>
    </xf>
    <xf numFmtId="2" fontId="8" fillId="4" borderId="1" applyAlignment="1" pivotButton="0" quotePrefix="0" xfId="0">
      <alignment horizontal="center" vertical="bottom" wrapText="1"/>
    </xf>
    <xf numFmtId="0" fontId="8" fillId="4" borderId="1" applyAlignment="1" pivotButton="0" quotePrefix="0" xfId="0">
      <alignment horizontal="center" vertical="bottom" wrapText="1"/>
    </xf>
    <xf numFmtId="165" fontId="8" fillId="4" borderId="1" applyAlignment="1" pivotButton="0" quotePrefix="0" xfId="0">
      <alignment horizontal="center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9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46" min="1" max="1"/>
    <col width="58" customWidth="1" style="46" min="2" max="2"/>
    <col width="14" customWidth="1" style="46" min="3" max="3"/>
    <col width="9" customWidth="1" style="46" min="4" max="4"/>
    <col width="60" customWidth="1" style="46" min="5" max="5"/>
  </cols>
  <sheetData>
    <row r="1" ht="17.35" customHeight="1" s="47">
      <c r="A1" s="48" t="inlineStr">
        <is>
          <t>PLANILHA DE APOIO - VIGA CONTÍNUA PROTENDIDA (2 × 10 m)</t>
        </is>
      </c>
    </row>
    <row r="2" ht="15" customHeight="1" s="47">
      <c r="A2" s="49" t="inlineStr">
        <is>
          <t>Células amarelas = dados de entrada. Todas as demais abas são recalculadas a partir desta aba. Unidades: kN, m, MPa (salvo indicação).</t>
        </is>
      </c>
    </row>
    <row r="4" ht="15" customHeight="1" s="47">
      <c r="A4" s="50" t="inlineStr">
        <is>
          <t>1. Geometria e materiais</t>
        </is>
      </c>
      <c r="B4" s="51" t="n"/>
      <c r="C4" s="52" t="n"/>
      <c r="D4" s="51" t="n"/>
      <c r="E4" s="51" t="n"/>
    </row>
    <row r="5" ht="15" customHeight="1" s="47">
      <c r="A5" s="53" t="inlineStr">
        <is>
          <t>L</t>
        </is>
      </c>
      <c r="B5" s="54" t="inlineStr">
        <is>
          <t>Vão de cada tramo</t>
        </is>
      </c>
      <c r="C5" s="55" t="n">
        <v>10</v>
      </c>
      <c r="D5" s="54" t="inlineStr">
        <is>
          <t>m</t>
        </is>
      </c>
      <c r="E5" s="56" t="inlineStr">
        <is>
          <t>viga contínua de 2 vãos iguais</t>
        </is>
      </c>
    </row>
    <row r="6" ht="15" customHeight="1" s="47">
      <c r="A6" s="53" t="inlineStr">
        <is>
          <t>bw</t>
        </is>
      </c>
      <c r="B6" s="54" t="inlineStr">
        <is>
          <t>Largura da seção</t>
        </is>
      </c>
      <c r="C6" s="55" t="n">
        <v>0.3</v>
      </c>
      <c r="D6" s="54" t="inlineStr">
        <is>
          <t>m</t>
        </is>
      </c>
      <c r="E6" s="56" t="n"/>
    </row>
    <row r="7" ht="15" customHeight="1" s="47">
      <c r="A7" s="53" t="inlineStr">
        <is>
          <t>h</t>
        </is>
      </c>
      <c r="B7" s="54" t="inlineStr">
        <is>
          <t>Altura da seção</t>
        </is>
      </c>
      <c r="C7" s="55" t="n">
        <v>0.9</v>
      </c>
      <c r="D7" s="54" t="inlineStr">
        <is>
          <t>m</t>
        </is>
      </c>
      <c r="E7" s="56" t="n"/>
    </row>
    <row r="8" ht="15" customHeight="1" s="47">
      <c r="A8" s="53" t="inlineStr">
        <is>
          <t>Ac</t>
        </is>
      </c>
      <c r="B8" s="54" t="inlineStr">
        <is>
          <t>Área Ac</t>
        </is>
      </c>
      <c r="C8" s="57">
        <f>$C$6*$C$7</f>
        <v/>
      </c>
      <c r="D8" s="54" t="inlineStr">
        <is>
          <t>m²</t>
        </is>
      </c>
      <c r="E8" s="56" t="n"/>
    </row>
    <row r="9" ht="15" customHeight="1" s="47">
      <c r="A9" s="53" t="inlineStr">
        <is>
          <t>Ic</t>
        </is>
      </c>
      <c r="B9" s="54" t="inlineStr">
        <is>
          <t>Inércia Ic</t>
        </is>
      </c>
      <c r="C9" s="57">
        <f>$C$6*$C$7^3/12</f>
        <v/>
      </c>
      <c r="D9" s="54" t="inlineStr">
        <is>
          <t>m⁴</t>
        </is>
      </c>
      <c r="E9" s="56" t="n"/>
    </row>
    <row r="10" ht="15" customHeight="1" s="47">
      <c r="A10" s="53" t="inlineStr">
        <is>
          <t>W</t>
        </is>
      </c>
      <c r="B10" s="54" t="inlineStr">
        <is>
          <t>Módulo resistente W1 = W2</t>
        </is>
      </c>
      <c r="C10" s="57">
        <f>$C$9/($C$7/2)</f>
        <v/>
      </c>
      <c r="D10" s="54" t="inlineStr">
        <is>
          <t>m³</t>
        </is>
      </c>
      <c r="E10" s="56" t="n"/>
    </row>
    <row r="11" ht="15" customHeight="1" s="47">
      <c r="A11" s="53" t="inlineStr">
        <is>
          <t>k</t>
        </is>
      </c>
      <c r="B11" s="54" t="inlineStr">
        <is>
          <t>Núcleo central k = W/Ac</t>
        </is>
      </c>
      <c r="C11" s="57">
        <f>$C$10/$C$8</f>
        <v/>
      </c>
      <c r="D11" s="54" t="inlineStr">
        <is>
          <t>m</t>
        </is>
      </c>
      <c r="E11" s="56" t="n"/>
    </row>
    <row r="12" ht="15" customHeight="1" s="47">
      <c r="A12" s="53" t="inlineStr">
        <is>
          <t>fck</t>
        </is>
      </c>
      <c r="B12" s="54" t="inlineStr">
        <is>
          <t>fck</t>
        </is>
      </c>
      <c r="C12" s="55" t="n">
        <v>30</v>
      </c>
      <c r="D12" s="54" t="inlineStr">
        <is>
          <t>MPa</t>
        </is>
      </c>
      <c r="E12" s="56" t="n"/>
    </row>
    <row r="13" ht="15" customHeight="1" s="47">
      <c r="A13" s="53" t="inlineStr">
        <is>
          <t>gc</t>
        </is>
      </c>
      <c r="B13" s="54" t="inlineStr">
        <is>
          <t>γc</t>
        </is>
      </c>
      <c r="C13" s="55" t="n">
        <v>1.4</v>
      </c>
      <c r="D13" s="54" t="n"/>
      <c r="E13" s="56" t="n"/>
    </row>
    <row r="14" ht="15" customHeight="1" s="47">
      <c r="A14" s="53" t="inlineStr">
        <is>
          <t>fcd</t>
        </is>
      </c>
      <c r="B14" s="54" t="inlineStr">
        <is>
          <t>fcd</t>
        </is>
      </c>
      <c r="C14" s="57">
        <f>$C$12/$C$13</f>
        <v/>
      </c>
      <c r="D14" s="54" t="inlineStr">
        <is>
          <t>MPa</t>
        </is>
      </c>
      <c r="E14" s="56" t="n"/>
    </row>
    <row r="15" ht="15" customHeight="1" s="47">
      <c r="A15" s="53" t="inlineStr">
        <is>
          <t>fctm</t>
        </is>
      </c>
      <c r="B15" s="54" t="inlineStr">
        <is>
          <t>fct,m = 0,3·fck^(2/3)</t>
        </is>
      </c>
      <c r="C15" s="57">
        <f>0.3*$C$12^(2/3)</f>
        <v/>
      </c>
      <c r="D15" s="54" t="inlineStr">
        <is>
          <t>MPa</t>
        </is>
      </c>
      <c r="E15" s="56" t="n"/>
    </row>
    <row r="16" ht="15" customHeight="1" s="47">
      <c r="A16" s="53" t="inlineStr">
        <is>
          <t>fctkinf</t>
        </is>
      </c>
      <c r="B16" s="54" t="inlineStr">
        <is>
          <t>fctk,inf = 0,7·fct,m</t>
        </is>
      </c>
      <c r="C16" s="57">
        <f>0.7*$C$15</f>
        <v/>
      </c>
      <c r="D16" s="54" t="inlineStr">
        <is>
          <t>MPa</t>
        </is>
      </c>
      <c r="E16" s="56" t="n"/>
    </row>
    <row r="17" ht="15" customHeight="1" s="47">
      <c r="A17" s="53" t="inlineStr">
        <is>
          <t>fctd</t>
        </is>
      </c>
      <c r="B17" s="54" t="inlineStr">
        <is>
          <t>fctd = fctk,inf/γc</t>
        </is>
      </c>
      <c r="C17" s="57">
        <f>$C$16/$C$13</f>
        <v/>
      </c>
      <c r="D17" s="54" t="inlineStr">
        <is>
          <t>MPa</t>
        </is>
      </c>
      <c r="E17" s="56" t="n"/>
    </row>
    <row r="18" ht="15" customHeight="1" s="47">
      <c r="A18" s="53" t="inlineStr">
        <is>
          <t>Eci</t>
        </is>
      </c>
      <c r="B18" s="54" t="inlineStr">
        <is>
          <t>Eci = 5600·√fck</t>
        </is>
      </c>
      <c r="C18" s="57">
        <f>5600*SQRT($C$12)</f>
        <v/>
      </c>
      <c r="D18" s="54" t="inlineStr">
        <is>
          <t>MPa</t>
        </is>
      </c>
      <c r="E18" s="56" t="n"/>
    </row>
    <row r="19" ht="15" customHeight="1" s="47">
      <c r="A19" s="53" t="inlineStr">
        <is>
          <t>ai</t>
        </is>
      </c>
      <c r="B19" s="54" t="inlineStr">
        <is>
          <t>αi = 0,8+0,2·fck/80 ≤ 1</t>
        </is>
      </c>
      <c r="C19" s="57">
        <f>MIN(0.8+0.2*$C$12/80,1)</f>
        <v/>
      </c>
      <c r="D19" s="54" t="n"/>
      <c r="E19" s="56" t="n"/>
    </row>
    <row r="20" ht="15" customHeight="1" s="47">
      <c r="A20" s="53" t="inlineStr">
        <is>
          <t>Ecs</t>
        </is>
      </c>
      <c r="B20" s="54" t="inlineStr">
        <is>
          <t>Ecs = αi·Eci</t>
        </is>
      </c>
      <c r="C20" s="57">
        <f>$C$19*$C$18</f>
        <v/>
      </c>
      <c r="D20" s="54" t="inlineStr">
        <is>
          <t>MPa</t>
        </is>
      </c>
      <c r="E20" s="56" t="n"/>
    </row>
    <row r="21" ht="15" customHeight="1" s="47">
      <c r="A21" s="53" t="inlineStr">
        <is>
          <t>t0</t>
        </is>
      </c>
      <c r="B21" s="54" t="inlineStr">
        <is>
          <t>Idade da protensão (ato)</t>
        </is>
      </c>
      <c r="C21" s="55" t="n">
        <v>7</v>
      </c>
      <c r="D21" s="54" t="inlineStr">
        <is>
          <t>dias</t>
        </is>
      </c>
      <c r="E21" s="56" t="n"/>
    </row>
    <row r="22" ht="15" customHeight="1" s="47">
      <c r="A22" s="53" t="inlineStr">
        <is>
          <t>fcj</t>
        </is>
      </c>
      <c r="B22" s="54" t="inlineStr">
        <is>
          <t>fcj = exp[0,38(1-√(28/t))]·fck</t>
        </is>
      </c>
      <c r="C22" s="57">
        <f>EXP(0.38*(1-SQRT(28/$C$21)))*$C$12</f>
        <v/>
      </c>
      <c r="D22" s="54" t="inlineStr">
        <is>
          <t>MPa</t>
        </is>
      </c>
      <c r="E22" s="56" t="n"/>
    </row>
    <row r="23" ht="15" customHeight="1" s="47">
      <c r="A23" s="53" t="inlineStr">
        <is>
          <t>Ecij</t>
        </is>
      </c>
      <c r="B23" s="54" t="inlineStr">
        <is>
          <t>Eci,j = 5600·√fcj</t>
        </is>
      </c>
      <c r="C23" s="57">
        <f>5600*SQRT($C$22)</f>
        <v/>
      </c>
      <c r="D23" s="54" t="inlineStr">
        <is>
          <t>MPa</t>
        </is>
      </c>
      <c r="E23" s="56" t="n"/>
    </row>
    <row r="24" ht="15" customHeight="1" s="47">
      <c r="A24" s="53" t="inlineStr">
        <is>
          <t>fctmj</t>
        </is>
      </c>
      <c r="B24" s="54" t="inlineStr">
        <is>
          <t>fct,m,j</t>
        </is>
      </c>
      <c r="C24" s="57">
        <f>0.3*$C$22^(2/3)</f>
        <v/>
      </c>
      <c r="D24" s="54" t="inlineStr">
        <is>
          <t>MPa</t>
        </is>
      </c>
      <c r="E24" s="56" t="n"/>
    </row>
    <row r="25" ht="15" customHeight="1" s="47">
      <c r="A25" s="53" t="inlineStr">
        <is>
          <t>ft_els</t>
        </is>
      </c>
      <c r="B25" s="54" t="inlineStr">
        <is>
          <t>Limite de tração ELS-F: 1,2·fctk,inf</t>
        </is>
      </c>
      <c r="C25" s="57">
        <f>1.2*$C$16</f>
        <v/>
      </c>
      <c r="D25" s="54" t="inlineStr">
        <is>
          <t>MPa</t>
        </is>
      </c>
      <c r="E25" s="56" t="n"/>
    </row>
    <row r="26" ht="15" customHeight="1" s="47">
      <c r="A26" s="53" t="inlineStr">
        <is>
          <t>ft_ato</t>
        </is>
      </c>
      <c r="B26" s="54" t="inlineStr">
        <is>
          <t>Limite de tração no ato: 1,2·fct,m,j</t>
        </is>
      </c>
      <c r="C26" s="57">
        <f>1.2*$C$24</f>
        <v/>
      </c>
      <c r="D26" s="54" t="inlineStr">
        <is>
          <t>MPa</t>
        </is>
      </c>
      <c r="E26" s="56" t="n"/>
    </row>
    <row r="27" ht="15" customHeight="1" s="47">
      <c r="A27" s="53" t="inlineStr">
        <is>
          <t>fc_ato</t>
        </is>
      </c>
      <c r="B27" s="54" t="inlineStr">
        <is>
          <t>Limite de compressão no ato: 0,7·fcj</t>
        </is>
      </c>
      <c r="C27" s="57">
        <f>0.7*$C$22</f>
        <v/>
      </c>
      <c r="D27" s="54" t="inlineStr">
        <is>
          <t>MPa</t>
        </is>
      </c>
      <c r="E27" s="56" t="n"/>
    </row>
    <row r="28" ht="15" customHeight="1" s="47">
      <c r="A28" s="53" t="inlineStr">
        <is>
          <t>fc_els</t>
        </is>
      </c>
      <c r="B28" s="54" t="inlineStr">
        <is>
          <t>Limite de compressão em serviço: 0,7·fck</t>
        </is>
      </c>
      <c r="C28" s="57">
        <f>0.7*$C$12</f>
        <v/>
      </c>
      <c r="D28" s="54" t="inlineStr">
        <is>
          <t>MPa</t>
        </is>
      </c>
      <c r="E28" s="56" t="n"/>
    </row>
    <row r="29" ht="15" customHeight="1" s="47">
      <c r="A29" s="50" t="inlineStr">
        <is>
          <t>2. Ações</t>
        </is>
      </c>
      <c r="B29" s="51" t="n"/>
      <c r="C29" s="52" t="n"/>
      <c r="D29" s="51" t="n"/>
      <c r="E29" s="51" t="n"/>
    </row>
    <row r="30" ht="15" customHeight="1" s="47">
      <c r="A30" s="53" t="inlineStr">
        <is>
          <t>gpp</t>
        </is>
      </c>
      <c r="B30" s="54" t="inlineStr">
        <is>
          <t>Peso próprio g0 = 25·Ac</t>
        </is>
      </c>
      <c r="C30" s="57">
        <f>25*$C$8</f>
        <v/>
      </c>
      <c r="D30" s="54" t="inlineStr">
        <is>
          <t>kN/m</t>
        </is>
      </c>
      <c r="E30" s="56" t="n"/>
    </row>
    <row r="31" ht="15" customHeight="1" s="47">
      <c r="A31" s="53" t="inlineStr">
        <is>
          <t>gadd</t>
        </is>
      </c>
      <c r="B31" s="54" t="inlineStr">
        <is>
          <t>Carga permanente adicional (tabuleiro, piso, guarda-corpo)</t>
        </is>
      </c>
      <c r="C31" s="55" t="n">
        <v>13.25</v>
      </c>
      <c r="D31" s="54" t="inlineStr">
        <is>
          <t>kN/m</t>
        </is>
      </c>
      <c r="E31" s="58" t="inlineStr">
        <is>
          <t>ADOTADO - provisório (confirmar com a biapoiada)</t>
        </is>
      </c>
    </row>
    <row r="32" ht="15" customHeight="1" s="47">
      <c r="A32" s="53" t="inlineStr">
        <is>
          <t>g</t>
        </is>
      </c>
      <c r="B32" s="54" t="inlineStr">
        <is>
          <t>Carga permanente total g</t>
        </is>
      </c>
      <c r="C32" s="57">
        <f>$C$30+$C$31</f>
        <v/>
      </c>
      <c r="D32" s="54" t="inlineStr">
        <is>
          <t>kN/m</t>
        </is>
      </c>
      <c r="E32" s="56" t="n"/>
    </row>
    <row r="33" ht="15" customHeight="1" s="47">
      <c r="A33" s="53" t="inlineStr">
        <is>
          <t>q</t>
        </is>
      </c>
      <c r="B33" s="54" t="inlineStr">
        <is>
          <t>Sobrecarga q (passarela)</t>
        </is>
      </c>
      <c r="C33" s="55" t="n">
        <v>25</v>
      </c>
      <c r="D33" s="54" t="inlineStr">
        <is>
          <t>kN/m</t>
        </is>
      </c>
      <c r="E33" s="58" t="inlineStr">
        <is>
          <t>ADOTADO - provisório (5 kN/m² × 5 m)</t>
        </is>
      </c>
    </row>
    <row r="34" ht="15" customHeight="1" s="47">
      <c r="A34" s="53" t="inlineStr">
        <is>
          <t>psi1</t>
        </is>
      </c>
      <c r="B34" s="54" t="inlineStr">
        <is>
          <t>ψ1 (passarela, NBR 8681)</t>
        </is>
      </c>
      <c r="C34" s="55" t="n">
        <v>0.4</v>
      </c>
      <c r="D34" s="54" t="n"/>
      <c r="E34" s="56" t="n"/>
    </row>
    <row r="35" ht="15" customHeight="1" s="47">
      <c r="A35" s="53" t="inlineStr">
        <is>
          <t>psi2</t>
        </is>
      </c>
      <c r="B35" s="54" t="inlineStr">
        <is>
          <t>ψ2 (passarela, NBR 8681)</t>
        </is>
      </c>
      <c r="C35" s="55" t="n">
        <v>0.3</v>
      </c>
      <c r="D35" s="54" t="n"/>
      <c r="E35" s="56" t="n"/>
    </row>
    <row r="36" ht="15" customHeight="1" s="47">
      <c r="A36" s="53" t="inlineStr">
        <is>
          <t>pbal</t>
        </is>
      </c>
      <c r="B36" s="54" t="inlineStr">
        <is>
          <t>a) Carga a equilibrar = g + ψ2·q</t>
        </is>
      </c>
      <c r="C36" s="57">
        <f>$C$32+$C$35*$C$33</f>
        <v/>
      </c>
      <c r="D36" s="54" t="inlineStr">
        <is>
          <t>kN/m</t>
        </is>
      </c>
      <c r="E36" s="56" t="n"/>
    </row>
    <row r="37" ht="15" customHeight="1" s="47">
      <c r="A37" s="50" t="inlineStr">
        <is>
          <t>3. Cobrimento, excentricidades e traçado do cabo resultante</t>
        </is>
      </c>
      <c r="B37" s="51" t="n"/>
      <c r="C37" s="52" t="n"/>
      <c r="D37" s="51" t="n"/>
      <c r="E37" s="51" t="n"/>
    </row>
    <row r="38" ht="15" customHeight="1" s="47">
      <c r="A38" s="53" t="inlineStr">
        <is>
          <t>cnom</t>
        </is>
      </c>
      <c r="B38" s="54" t="inlineStr">
        <is>
          <t>Cobrimento nominal (CAA II, protendido)</t>
        </is>
      </c>
      <c r="C38" s="55" t="n">
        <v>0.035</v>
      </c>
      <c r="D38" s="54" t="inlineStr">
        <is>
          <t>m</t>
        </is>
      </c>
      <c r="E38" s="56" t="n"/>
    </row>
    <row r="39" ht="15" customHeight="1" s="47">
      <c r="A39" s="53" t="inlineStr">
        <is>
          <t>phit</t>
        </is>
      </c>
      <c r="B39" s="54" t="inlineStr">
        <is>
          <t>Estribo Ø</t>
        </is>
      </c>
      <c r="C39" s="55" t="n">
        <v>0.01</v>
      </c>
      <c r="D39" s="54" t="inlineStr">
        <is>
          <t>m</t>
        </is>
      </c>
      <c r="E39" s="56" t="n"/>
    </row>
    <row r="40" ht="15" customHeight="1" s="47">
      <c r="A40" s="53" t="inlineStr">
        <is>
          <t>dbain</t>
        </is>
      </c>
      <c r="B40" s="54" t="inlineStr">
        <is>
          <t>Bainha: diâmetro externo (5 Ø12,7)</t>
        </is>
      </c>
      <c r="C40" s="55" t="n">
        <v>0.061</v>
      </c>
      <c r="D40" s="54" t="inlineStr">
        <is>
          <t>m</t>
        </is>
      </c>
      <c r="E40" s="56" t="n"/>
    </row>
    <row r="41" ht="15" customHeight="1" s="47">
      <c r="A41" s="53" t="inlineStr">
        <is>
          <t>dpp</t>
        </is>
      </c>
      <c r="B41" s="54" t="inlineStr">
        <is>
          <t>d' = c + Øestribo + Øbainha/2</t>
        </is>
      </c>
      <c r="C41" s="57">
        <f>$C$38+$C$39+$C$40/2</f>
        <v/>
      </c>
      <c r="D41" s="54" t="inlineStr">
        <is>
          <t>m</t>
        </is>
      </c>
      <c r="E41" s="56" t="n"/>
    </row>
    <row r="42" ht="15" customHeight="1" s="47">
      <c r="A42" s="53" t="inlineStr">
        <is>
          <t>emax</t>
        </is>
      </c>
      <c r="B42" s="54" t="inlineStr">
        <is>
          <t>b) e_max = h/2 - d'</t>
        </is>
      </c>
      <c r="C42" s="57">
        <f>$C$7/2-$C$41</f>
        <v/>
      </c>
      <c r="D42" s="54" t="inlineStr">
        <is>
          <t>m</t>
        </is>
      </c>
      <c r="E42" s="56" t="n"/>
    </row>
    <row r="43" ht="15" customHeight="1" s="47">
      <c r="A43" s="53" t="inlineStr">
        <is>
          <t>e_end</t>
        </is>
      </c>
      <c r="B43" s="54" t="inlineStr">
        <is>
          <t>Excentricidade na ancoragem</t>
        </is>
      </c>
      <c r="C43" s="55" t="n">
        <v>0</v>
      </c>
      <c r="D43" s="54" t="inlineStr">
        <is>
          <t>m</t>
        </is>
      </c>
      <c r="E43" s="56" t="inlineStr">
        <is>
          <t>+ abaixo do CG</t>
        </is>
      </c>
    </row>
    <row r="44" ht="15" customHeight="1" s="47">
      <c r="A44" s="53" t="inlineStr">
        <is>
          <t>e_span</t>
        </is>
      </c>
      <c r="B44" s="54" t="inlineStr">
        <is>
          <t>Excentricidade máx. no vão (abaixo do CG)</t>
        </is>
      </c>
      <c r="C44" s="55" t="n">
        <v>0.28</v>
      </c>
      <c r="D44" s="54" t="inlineStr">
        <is>
          <t>m</t>
        </is>
      </c>
      <c r="E44" s="56" t="n"/>
    </row>
    <row r="45" ht="15" customHeight="1" s="47">
      <c r="A45" s="53" t="inlineStr">
        <is>
          <t>e_sup</t>
        </is>
      </c>
      <c r="B45" s="54" t="inlineStr">
        <is>
          <t>Excentricidade no apoio central (acima do CG)</t>
        </is>
      </c>
      <c r="C45" s="55" t="n">
        <v>0.28</v>
      </c>
      <c r="D45" s="54" t="inlineStr">
        <is>
          <t>m</t>
        </is>
      </c>
      <c r="E45" s="56" t="n"/>
    </row>
    <row r="46" ht="15" customHeight="1" s="47">
      <c r="A46" s="53" t="inlineStr">
        <is>
          <t>lam</t>
        </is>
      </c>
      <c r="B46" s="54" t="inlineStr">
        <is>
          <t>Comprimento da parábola reversa junto ao apoio</t>
        </is>
      </c>
      <c r="C46" s="55" t="n">
        <v>1</v>
      </c>
      <c r="D46" s="54" t="inlineStr">
        <is>
          <t>m</t>
        </is>
      </c>
      <c r="E46" s="56" t="n"/>
    </row>
    <row r="47" ht="15" customHeight="1" s="47">
      <c r="A47" s="53" t="inlineStr">
        <is>
          <t>xi</t>
        </is>
      </c>
      <c r="B47" s="54" t="inlineStr">
        <is>
          <t>x_i = L - λ (início da parábola reversa)</t>
        </is>
      </c>
      <c r="C47" s="57">
        <f>$C$5-$C$46</f>
        <v/>
      </c>
      <c r="D47" s="54" t="inlineStr">
        <is>
          <t>m</t>
        </is>
      </c>
      <c r="E47" s="56" t="n"/>
    </row>
    <row r="48" ht="15" customHeight="1" s="47">
      <c r="A48" s="53" t="inlineStr">
        <is>
          <t>cc</t>
        </is>
      </c>
      <c r="B48" s="54" t="inlineStr">
        <is>
          <t>c = e_vão - e_ancoragem</t>
        </is>
      </c>
      <c r="C48" s="57">
        <f>$C$44-$C$43</f>
        <v/>
      </c>
      <c r="D48" s="54" t="inlineStr">
        <is>
          <t>m</t>
        </is>
      </c>
      <c r="E48" s="56" t="n"/>
    </row>
    <row r="49" ht="15" customHeight="1" s="47">
      <c r="A49" s="53" t="inlineStr">
        <is>
          <t>qA</t>
        </is>
      </c>
      <c r="B49" s="54" t="inlineStr">
        <is>
          <t>coef. A da equação de x0</t>
        </is>
      </c>
      <c r="C49" s="57">
        <f>$C$45+$C$43</f>
        <v/>
      </c>
      <c r="D49" s="54" t="n"/>
      <c r="E49" s="56" t="n"/>
    </row>
    <row r="50" ht="15" customHeight="1" s="47">
      <c r="A50" s="53" t="inlineStr">
        <is>
          <t>qB</t>
        </is>
      </c>
      <c r="B50" s="54" t="inlineStr">
        <is>
          <t>coef. B da equação de x0</t>
        </is>
      </c>
      <c r="C50" s="57">
        <f>$C$48*($C$47+$C$5)</f>
        <v/>
      </c>
      <c r="D50" s="54" t="n"/>
      <c r="E50" s="56" t="n"/>
    </row>
    <row r="51" ht="15" customHeight="1" s="47">
      <c r="A51" s="53" t="inlineStr">
        <is>
          <t>qC</t>
        </is>
      </c>
      <c r="B51" s="54" t="inlineStr">
        <is>
          <t>coef. C da equação de x0</t>
        </is>
      </c>
      <c r="C51" s="57">
        <f>-$C$48*$C$47*$C$5</f>
        <v/>
      </c>
      <c r="D51" s="54" t="n"/>
      <c r="E51" s="56" t="n"/>
    </row>
    <row r="52" ht="15" customHeight="1" s="47">
      <c r="A52" s="53" t="inlineStr">
        <is>
          <t>x0</t>
        </is>
      </c>
      <c r="B52" s="54" t="inlineStr">
        <is>
          <t>x0 (vértice da parábola do vão)</t>
        </is>
      </c>
      <c r="C52" s="57">
        <f>(-$C$50+SQRT($C$50^2-4*$C$49*$C$51))/(2*$C$49)</f>
        <v/>
      </c>
      <c r="D52" s="54" t="inlineStr">
        <is>
          <t>m</t>
        </is>
      </c>
      <c r="E52" s="56" t="n"/>
    </row>
    <row r="53" ht="15" customHeight="1" s="47">
      <c r="A53" s="53" t="inlineStr">
        <is>
          <t>aA</t>
        </is>
      </c>
      <c r="B53" s="54" t="inlineStr">
        <is>
          <t>aA = c/x0²</t>
        </is>
      </c>
      <c r="C53" s="57">
        <f>$C$48/$C$52^2</f>
        <v/>
      </c>
      <c r="D53" s="54" t="inlineStr">
        <is>
          <t>1/m</t>
        </is>
      </c>
      <c r="E53" s="56" t="n"/>
    </row>
    <row r="54" ht="15" customHeight="1" s="47">
      <c r="A54" s="53" t="inlineStr">
        <is>
          <t>aB</t>
        </is>
      </c>
      <c r="B54" s="54" t="inlineStr">
        <is>
          <t>aB = aA·(xi-x0)/λ</t>
        </is>
      </c>
      <c r="C54" s="57">
        <f>$C$53*($C$47-$C$52)/$C$46</f>
        <v/>
      </c>
      <c r="D54" s="54" t="inlineStr">
        <is>
          <t>1/m</t>
        </is>
      </c>
      <c r="E54" s="56" t="n"/>
    </row>
    <row r="55" ht="15" customHeight="1" s="47">
      <c r="A55" s="50" t="inlineStr">
        <is>
          <t>4. Armadura ativa</t>
        </is>
      </c>
      <c r="B55" s="51" t="n"/>
      <c r="C55" s="52" t="n"/>
      <c r="D55" s="51" t="n"/>
      <c r="E55" s="51" t="n"/>
    </row>
    <row r="56" ht="15" customHeight="1" s="47">
      <c r="A56" s="53" t="inlineStr">
        <is>
          <t>ncab</t>
        </is>
      </c>
      <c r="B56" s="54" t="inlineStr">
        <is>
          <t>Número de cabos</t>
        </is>
      </c>
      <c r="C56" s="55" t="n">
        <v>2</v>
      </c>
      <c r="D56" s="54" t="n"/>
      <c r="E56" s="56" t="n"/>
    </row>
    <row r="57" ht="15" customHeight="1" s="47">
      <c r="A57" s="53" t="inlineStr">
        <is>
          <t>ncord</t>
        </is>
      </c>
      <c r="B57" s="54" t="inlineStr">
        <is>
          <t>Cordoalhas por cabo</t>
        </is>
      </c>
      <c r="C57" s="55" t="n">
        <v>5</v>
      </c>
      <c r="D57" s="54" t="n"/>
      <c r="E57" s="56" t="n"/>
    </row>
    <row r="58" ht="15" customHeight="1" s="47">
      <c r="A58" s="53" t="inlineStr">
        <is>
          <t>Ap1</t>
        </is>
      </c>
      <c r="B58" s="54" t="inlineStr">
        <is>
          <t>Área de 1 cordoalha CP190 RB Ø12,7</t>
        </is>
      </c>
      <c r="C58" s="55" t="n">
        <v>0.987</v>
      </c>
      <c r="D58" s="54" t="inlineStr">
        <is>
          <t>cm²</t>
        </is>
      </c>
      <c r="E58" s="56" t="n"/>
    </row>
    <row r="59" ht="15" customHeight="1" s="47">
      <c r="A59" s="53" t="inlineStr">
        <is>
          <t>Ap</t>
        </is>
      </c>
      <c r="B59" s="54" t="inlineStr">
        <is>
          <t>Ap total</t>
        </is>
      </c>
      <c r="C59" s="57">
        <f>$C$56*$C$57*$C$58/10000</f>
        <v/>
      </c>
      <c r="D59" s="54" t="inlineStr">
        <is>
          <t>m²</t>
        </is>
      </c>
      <c r="E59" s="56" t="n"/>
    </row>
    <row r="60" ht="15" customHeight="1" s="47">
      <c r="A60" s="53" t="inlineStr">
        <is>
          <t>fptk</t>
        </is>
      </c>
      <c r="B60" s="54" t="inlineStr">
        <is>
          <t>fptk (CP190 RB)</t>
        </is>
      </c>
      <c r="C60" s="55" t="n">
        <v>1900</v>
      </c>
      <c r="D60" s="54" t="inlineStr">
        <is>
          <t>MPa</t>
        </is>
      </c>
      <c r="E60" s="56" t="n"/>
    </row>
    <row r="61" ht="15" customHeight="1" s="47">
      <c r="A61" s="53" t="inlineStr">
        <is>
          <t>fpyk</t>
        </is>
      </c>
      <c r="B61" s="54" t="inlineStr">
        <is>
          <t>fpyk = 0,9·fptk (RB)</t>
        </is>
      </c>
      <c r="C61" s="57">
        <f>0.9*$C$60</f>
        <v/>
      </c>
      <c r="D61" s="54" t="inlineStr">
        <is>
          <t>MPa</t>
        </is>
      </c>
      <c r="E61" s="56" t="n"/>
    </row>
    <row r="62" ht="15" customHeight="1" s="47">
      <c r="A62" s="53" t="inlineStr">
        <is>
          <t>gs</t>
        </is>
      </c>
      <c r="B62" s="54" t="inlineStr">
        <is>
          <t>γs</t>
        </is>
      </c>
      <c r="C62" s="55" t="n">
        <v>1.15</v>
      </c>
      <c r="D62" s="54" t="n"/>
      <c r="E62" s="56" t="n"/>
    </row>
    <row r="63" ht="15" customHeight="1" s="47">
      <c r="A63" s="53" t="inlineStr">
        <is>
          <t>fpyd</t>
        </is>
      </c>
      <c r="B63" s="54" t="inlineStr">
        <is>
          <t>fpyd</t>
        </is>
      </c>
      <c r="C63" s="57">
        <f>$C$61/$C$62</f>
        <v/>
      </c>
      <c r="D63" s="54" t="inlineStr">
        <is>
          <t>MPa</t>
        </is>
      </c>
      <c r="E63" s="56" t="n"/>
    </row>
    <row r="64" ht="15" customHeight="1" s="47">
      <c r="A64" s="53" t="inlineStr">
        <is>
          <t>fptd</t>
        </is>
      </c>
      <c r="B64" s="54" t="inlineStr">
        <is>
          <t>fptd</t>
        </is>
      </c>
      <c r="C64" s="57">
        <f>$C$60/$C$62</f>
        <v/>
      </c>
      <c r="D64" s="54" t="inlineStr">
        <is>
          <t>MPa</t>
        </is>
      </c>
      <c r="E64" s="56" t="n"/>
    </row>
    <row r="65" ht="15" customHeight="1" s="47">
      <c r="A65" s="53" t="inlineStr">
        <is>
          <t>Ep</t>
        </is>
      </c>
      <c r="B65" s="54" t="inlineStr">
        <is>
          <t>Ep</t>
        </is>
      </c>
      <c r="C65" s="55" t="n">
        <v>200000</v>
      </c>
      <c r="D65" s="54" t="inlineStr">
        <is>
          <t>MPa</t>
        </is>
      </c>
      <c r="E65" s="56" t="n"/>
    </row>
    <row r="66" ht="15" customHeight="1" s="47">
      <c r="A66" s="53" t="inlineStr">
        <is>
          <t>rj</t>
        </is>
      </c>
      <c r="B66" s="54" t="inlineStr">
        <is>
          <t>σp,j / fptk no macaco (pós-tração, RB: 0,74)</t>
        </is>
      </c>
      <c r="C66" s="55" t="n">
        <v>0.74</v>
      </c>
      <c r="D66" s="54" t="n"/>
      <c r="E66" s="56" t="n"/>
    </row>
    <row r="67" ht="15" customHeight="1" s="47">
      <c r="A67" s="53" t="inlineStr">
        <is>
          <t>sj</t>
        </is>
      </c>
      <c r="B67" s="54" t="inlineStr">
        <is>
          <t>σp,j</t>
        </is>
      </c>
      <c r="C67" s="57">
        <f>$C$66*$C$60</f>
        <v/>
      </c>
      <c r="D67" s="54" t="inlineStr">
        <is>
          <t>MPa</t>
        </is>
      </c>
      <c r="E67" s="56" t="n"/>
    </row>
    <row r="68" ht="15" customHeight="1" s="47">
      <c r="A68" s="53" t="inlineStr">
        <is>
          <t>Pj</t>
        </is>
      </c>
      <c r="B68" s="54" t="inlineStr">
        <is>
          <t>Força de macaco Pj = Ap·σp,j</t>
        </is>
      </c>
      <c r="C68" s="57">
        <f>$C$59*$C$67*1000</f>
        <v/>
      </c>
      <c r="D68" s="54" t="inlineStr">
        <is>
          <t>kN</t>
        </is>
      </c>
      <c r="E68" s="56" t="n"/>
    </row>
    <row r="69" ht="15" customHeight="1" s="47">
      <c r="A69" s="50" t="inlineStr">
        <is>
          <t>5. Perdas de protensão</t>
        </is>
      </c>
      <c r="B69" s="51" t="n"/>
      <c r="C69" s="52" t="n"/>
      <c r="D69" s="51" t="n"/>
      <c r="E69" s="51" t="n"/>
    </row>
    <row r="70" ht="15" customHeight="1" s="47">
      <c r="A70" s="53" t="inlineStr">
        <is>
          <t>mu</t>
        </is>
      </c>
      <c r="B70" s="54" t="inlineStr">
        <is>
          <t>Coeficiente de atrito μ (cordoalha em bainha metálica)</t>
        </is>
      </c>
      <c r="C70" s="55" t="n">
        <v>0.2</v>
      </c>
      <c r="D70" s="54" t="inlineStr">
        <is>
          <t>1/rad</t>
        </is>
      </c>
      <c r="E70" s="56" t="n"/>
    </row>
    <row r="71" ht="15" customHeight="1" s="47">
      <c r="A71" s="53" t="inlineStr">
        <is>
          <t>kk</t>
        </is>
      </c>
      <c r="B71" s="54" t="inlineStr">
        <is>
          <t>Perda parasita k (=0,01·μ)</t>
        </is>
      </c>
      <c r="C71" s="55" t="n">
        <v>0.002</v>
      </c>
      <c r="D71" s="54" t="inlineStr">
        <is>
          <t>1/m</t>
        </is>
      </c>
      <c r="E71" s="56" t="n"/>
    </row>
    <row r="72" ht="15" customHeight="1" s="47">
      <c r="A72" s="53" t="inlineStr">
        <is>
          <t>slip</t>
        </is>
      </c>
      <c r="B72" s="54" t="inlineStr">
        <is>
          <t>Cravação das cunhas (acomodação)</t>
        </is>
      </c>
      <c r="C72" s="55" t="n">
        <v>0.006</v>
      </c>
      <c r="D72" s="54" t="inlineStr">
        <is>
          <t>m</t>
        </is>
      </c>
      <c r="E72" s="56" t="n"/>
    </row>
    <row r="73" ht="15" customHeight="1" s="47">
      <c r="A73" s="53" t="inlineStr">
        <is>
          <t>phi</t>
        </is>
      </c>
      <c r="B73" s="54" t="inlineStr">
        <is>
          <t>Coeficiente de fluência φ(t∞,t0)</t>
        </is>
      </c>
      <c r="C73" s="55" t="n">
        <v>2.9</v>
      </c>
      <c r="D73" s="54" t="n"/>
      <c r="E73" s="58" t="inlineStr">
        <is>
          <t>Tab. 8.2 NBR 6118 (UR≈75%, hfic≈22 cm, t0≈7 d) - interpolado; CONFERIR</t>
        </is>
      </c>
    </row>
    <row r="74" ht="15" customHeight="1" s="47">
      <c r="A74" s="53" t="inlineStr">
        <is>
          <t>ecs</t>
        </is>
      </c>
      <c r="B74" s="54" t="inlineStr">
        <is>
          <t>Retração εcs(t∞,t0)</t>
        </is>
      </c>
      <c r="C74" s="55" t="n">
        <v>-0.00023</v>
      </c>
      <c r="D74" s="54" t="n"/>
      <c r="E74" s="56" t="inlineStr">
        <is>
          <t>idem</t>
        </is>
      </c>
    </row>
    <row r="75" ht="15" customHeight="1" s="47">
      <c r="A75" s="53" t="inlineStr">
        <is>
          <t>ap_ato</t>
        </is>
      </c>
      <c r="B75" s="54" t="inlineStr">
        <is>
          <t>αp = Ep/Eci,j (ato)</t>
        </is>
      </c>
      <c r="C75" s="57">
        <f>$C$65/$C$23</f>
        <v/>
      </c>
      <c r="D75" s="54" t="n"/>
      <c r="E75" s="56" t="n"/>
    </row>
    <row r="76" ht="15" customHeight="1" s="47">
      <c r="A76" s="53" t="inlineStr">
        <is>
          <t>ap28</t>
        </is>
      </c>
      <c r="B76" s="54" t="inlineStr">
        <is>
          <t>αp = Ep/Ecs (progressivas)</t>
        </is>
      </c>
      <c r="C76" s="57">
        <f>$C$65/$C$20</f>
        <v/>
      </c>
      <c r="D76" s="54" t="n"/>
      <c r="E76" s="56" t="n"/>
    </row>
    <row r="77" ht="15" customHeight="1" s="47">
      <c r="A77" s="53" t="inlineStr">
        <is>
          <t>cES</t>
        </is>
      </c>
      <c r="B77" s="54" t="inlineStr">
        <is>
          <t>Fator de encurtamento elástico (n-1)/(2n)·αp</t>
        </is>
      </c>
      <c r="C77" s="57">
        <f>$C$75*($C$56-1)/(2*$C$56)</f>
        <v/>
      </c>
      <c r="D77" s="54" t="n"/>
      <c r="E77" s="56" t="n"/>
    </row>
    <row r="78" ht="15" customHeight="1" s="47">
      <c r="A78" s="53" t="inlineStr">
        <is>
          <t>rho_p</t>
        </is>
      </c>
      <c r="B78" s="54" t="inlineStr">
        <is>
          <t>ρp = Ap/Ac</t>
        </is>
      </c>
      <c r="C78" s="57">
        <f>$C$59/$C$8</f>
        <v/>
      </c>
      <c r="D78" s="54" t="n"/>
      <c r="E78" s="56" t="n"/>
    </row>
    <row r="79" ht="15" customHeight="1" s="47">
      <c r="A79" s="53" t="inlineStr">
        <is>
          <t>kc</t>
        </is>
      </c>
      <c r="B79" s="54" t="inlineStr">
        <is>
          <t>Nº de estações do trecho 0..L com Δ &lt; cravação</t>
        </is>
      </c>
      <c r="C79" s="57">
        <f>COUNTIF(Tracado_Perdas!$O$8:$O$28,"&lt;"&amp;$C$72)</f>
        <v/>
      </c>
      <c r="D79" s="54" t="n"/>
      <c r="E79" s="56" t="inlineStr">
        <is>
          <t>auxiliar - zona de acomodação</t>
        </is>
      </c>
    </row>
    <row r="80" ht="15" customHeight="1" s="47">
      <c r="A80" s="53" t="inlineStr">
        <is>
          <t>fint</t>
        </is>
      </c>
      <c r="B80" s="54" t="inlineStr">
        <is>
          <t>Fração de interpolação</t>
        </is>
      </c>
      <c r="C80" s="57">
        <f>($C$72-INDEX(Tracado_Perdas!$O$8:$O$28,$C$79))/(INDEX(Tracado_Perdas!$O$8:$O$28,$C$79+1)-INDEX(Tracado_Perdas!$O$8:$O$28,$C$79))</f>
        <v/>
      </c>
      <c r="D80" s="54" t="n"/>
      <c r="E80" s="56" t="n"/>
    </row>
    <row r="81" ht="15" customHeight="1" s="47">
      <c r="A81" s="53" t="inlineStr">
        <is>
          <t>xa</t>
        </is>
      </c>
      <c r="B81" s="54" t="inlineStr">
        <is>
          <t>Alcance da acomodação xa (a partir de cada extremidade)</t>
        </is>
      </c>
      <c r="C81" s="57">
        <f>INDEX(Tracado_Perdas!$B$8:$B$28,$C$79)+$C$80*0.5</f>
        <v/>
      </c>
      <c r="D81" s="54" t="inlineStr">
        <is>
          <t>m</t>
        </is>
      </c>
      <c r="E81" s="56" t="n"/>
    </row>
    <row r="82" ht="15" customHeight="1" s="47">
      <c r="A82" s="53" t="inlineStr">
        <is>
          <t>sfa</t>
        </is>
      </c>
      <c r="B82" s="54" t="inlineStr">
        <is>
          <t>σ(xa) pelo atrito</t>
        </is>
      </c>
      <c r="C82" s="57">
        <f>INDEX(Tracado_Perdas!$M$8:$M$28,$C$79)+$C$80*(INDEX(Tracado_Perdas!$M$8:$M$28,$C$79+1)-INDEX(Tracado_Perdas!$M$8:$M$28,$C$79))</f>
        <v/>
      </c>
      <c r="D82" s="54" t="inlineStr">
        <is>
          <t>MPa</t>
        </is>
      </c>
      <c r="E82" s="56" t="n"/>
    </row>
    <row r="83" ht="15" customHeight="1" s="47">
      <c r="A83" s="50" t="inlineStr">
        <is>
          <t>6. Armaduras passivas / cisalhamento</t>
        </is>
      </c>
      <c r="B83" s="51" t="n"/>
      <c r="C83" s="52" t="n"/>
      <c r="D83" s="51" t="n"/>
      <c r="E83" s="51" t="n"/>
    </row>
    <row r="84" ht="15" customHeight="1" s="47">
      <c r="A84" s="53" t="inlineStr">
        <is>
          <t>fyk</t>
        </is>
      </c>
      <c r="B84" s="54" t="inlineStr">
        <is>
          <t>fyk (CA-50)</t>
        </is>
      </c>
      <c r="C84" s="55" t="n">
        <v>500</v>
      </c>
      <c r="D84" s="54" t="inlineStr">
        <is>
          <t>MPa</t>
        </is>
      </c>
      <c r="E84" s="56" t="n"/>
    </row>
    <row r="85" ht="15" customHeight="1" s="47">
      <c r="A85" s="53" t="inlineStr">
        <is>
          <t>fyd</t>
        </is>
      </c>
      <c r="B85" s="54" t="inlineStr">
        <is>
          <t>fyd</t>
        </is>
      </c>
      <c r="C85" s="57">
        <f>$C$84/$C$13*$C$13/$C$62</f>
        <v/>
      </c>
      <c r="D85" s="54" t="inlineStr">
        <is>
          <t>MPa</t>
        </is>
      </c>
      <c r="E85" s="56" t="n"/>
    </row>
    <row r="86" ht="15" customHeight="1" s="47">
      <c r="A86" s="53" t="inlineStr">
        <is>
          <t>Es</t>
        </is>
      </c>
      <c r="B86" s="54" t="inlineStr">
        <is>
          <t>Es</t>
        </is>
      </c>
      <c r="C86" s="55" t="n">
        <v>210000</v>
      </c>
      <c r="D86" s="54" t="inlineStr">
        <is>
          <t>MPa</t>
        </is>
      </c>
      <c r="E86" s="56" t="n"/>
    </row>
    <row r="87" ht="15" customHeight="1" s="47">
      <c r="A87" s="53" t="inlineStr">
        <is>
          <t>dd</t>
        </is>
      </c>
      <c r="B87" s="54" t="inlineStr">
        <is>
          <t>d = 0,9·h (cisalhamento)</t>
        </is>
      </c>
      <c r="C87" s="57">
        <f>0.9*$C$7</f>
        <v/>
      </c>
      <c r="D87" s="54" t="inlineStr">
        <is>
          <t>m</t>
        </is>
      </c>
      <c r="E87" s="56" t="n"/>
    </row>
    <row r="88" ht="15" customHeight="1" s="47">
      <c r="A88" s="53" t="inlineStr">
        <is>
          <t>tauc</t>
        </is>
      </c>
      <c r="B88" s="54" t="inlineStr">
        <is>
          <t>τc = 0,6·fctd</t>
        </is>
      </c>
      <c r="C88" s="57">
        <f>0.6*$C$17</f>
        <v/>
      </c>
      <c r="D88" s="54" t="inlineStr">
        <is>
          <t>MPa</t>
        </is>
      </c>
      <c r="E88" s="56" t="n"/>
    </row>
    <row r="89" ht="15" customHeight="1" s="47">
      <c r="A89" s="53" t="inlineStr">
        <is>
          <t>tauu</t>
        </is>
      </c>
      <c r="B89" s="54" t="inlineStr">
        <is>
          <t>τu = 0,27·(1-fck/250)·fcd</t>
        </is>
      </c>
      <c r="C89" s="57">
        <f>0.27*(1-$C$12/250)*$C$14</f>
        <v/>
      </c>
      <c r="D89" s="54" t="inlineStr">
        <is>
          <t>MPa</t>
        </is>
      </c>
      <c r="E89" s="56" t="n"/>
    </row>
    <row r="90" ht="15" customHeight="1" s="47">
      <c r="A90" s="53" t="inlineStr">
        <is>
          <t>rhomin</t>
        </is>
      </c>
      <c r="B90" s="54" t="inlineStr">
        <is>
          <t>ρsw,min = 0,2·fct,m/fywk</t>
        </is>
      </c>
      <c r="C90" s="57">
        <f>0.2*$C$15/$C$84</f>
        <v/>
      </c>
      <c r="D90" s="54" t="n"/>
      <c r="E90" s="56" t="n"/>
    </row>
    <row r="91" ht="15" customHeight="1" s="47">
      <c r="A91" s="53" t="inlineStr">
        <is>
          <t>bwred</t>
        </is>
      </c>
      <c r="B91" s="54" t="inlineStr">
        <is>
          <t>bw,red = bw - ½ΣØbainha</t>
        </is>
      </c>
      <c r="C91" s="57">
        <f>IF($C$40&gt;$C$6/8,$C$6-0.5*$C$56*$C$40,$C$6)</f>
        <v/>
      </c>
      <c r="D91" s="54" t="inlineStr">
        <is>
          <t>m</t>
        </is>
      </c>
      <c r="E91" s="5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N4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46" min="1" max="14"/>
  </cols>
  <sheetData>
    <row r="1" ht="16.15" customHeight="1" s="47">
      <c r="A1" s="59" t="inlineStr">
        <is>
          <t>Esforços externos - viga contínua de 2 vãos iguais (envoltórias)</t>
        </is>
      </c>
    </row>
    <row r="2" ht="15" customHeight="1" s="47">
      <c r="A2" s="49" t="inlineStr">
        <is>
          <t>Momento positivo = tração embaixo. Padrões de sobrecarga: ambos os vãos, só o vão do ponto, só o outro vão. Estações a cada 0,5 m (0 a 20 m).</t>
        </is>
      </c>
    </row>
    <row r="6" ht="31.5" customHeight="1" s="47">
      <c r="A6" s="60" t="inlineStr">
        <is>
          <t>i</t>
        </is>
      </c>
      <c r="B6" s="60" t="inlineStr">
        <is>
          <t>x</t>
        </is>
      </c>
      <c r="C6" s="60" t="inlineStr">
        <is>
          <t>s (espelho)</t>
        </is>
      </c>
      <c r="D6" s="60" t="inlineStr">
        <is>
          <t>Mg0 (g0)</t>
        </is>
      </c>
      <c r="E6" s="60" t="inlineStr">
        <is>
          <t>Mg (g)</t>
        </is>
      </c>
      <c r="F6" s="60" t="inlineStr">
        <is>
          <t>Mq,máx</t>
        </is>
      </c>
      <c r="G6" s="60" t="inlineStr">
        <is>
          <t>Mq,mín</t>
        </is>
      </c>
      <c r="H6" s="60" t="inlineStr">
        <is>
          <t>M CFQ,máx = Mg+ψ1Mq+</t>
        </is>
      </c>
      <c r="I6" s="60" t="inlineStr">
        <is>
          <t>M CFQ,mín = Mg+ψ1Mq-</t>
        </is>
      </c>
      <c r="J6" s="60" t="inlineStr">
        <is>
          <t>M CR,máx = Mg+Mq+</t>
        </is>
      </c>
      <c r="K6" s="60" t="inlineStr">
        <is>
          <t>M CR,mín = Mg+Mq-</t>
        </is>
      </c>
      <c r="L6" s="60" t="inlineStr">
        <is>
          <t>Vg</t>
        </is>
      </c>
      <c r="M6" s="60" t="inlineStr">
        <is>
          <t>Vq,máx</t>
        </is>
      </c>
      <c r="N6" s="60" t="inlineStr">
        <is>
          <t>Vq,mín</t>
        </is>
      </c>
    </row>
    <row r="7" ht="15" customHeight="1" s="47">
      <c r="A7" s="61" t="n"/>
      <c r="B7" s="61" t="inlineStr">
        <is>
          <t>m</t>
        </is>
      </c>
      <c r="C7" s="61" t="inlineStr">
        <is>
          <t>m</t>
        </is>
      </c>
      <c r="D7" s="61" t="inlineStr">
        <is>
          <t>kN·m</t>
        </is>
      </c>
      <c r="E7" s="61" t="inlineStr">
        <is>
          <t>kN·m</t>
        </is>
      </c>
      <c r="F7" s="61" t="inlineStr">
        <is>
          <t>kN·m</t>
        </is>
      </c>
      <c r="G7" s="61" t="inlineStr">
        <is>
          <t>kN·m</t>
        </is>
      </c>
      <c r="H7" s="61" t="inlineStr">
        <is>
          <t>kN·m</t>
        </is>
      </c>
      <c r="I7" s="61" t="inlineStr">
        <is>
          <t>kN·m</t>
        </is>
      </c>
      <c r="J7" s="61" t="inlineStr">
        <is>
          <t>kN·m</t>
        </is>
      </c>
      <c r="K7" s="61" t="inlineStr">
        <is>
          <t>kN·m</t>
        </is>
      </c>
      <c r="L7" s="61" t="inlineStr">
        <is>
          <t>kN</t>
        </is>
      </c>
      <c r="M7" s="61" t="inlineStr">
        <is>
          <t>kN</t>
        </is>
      </c>
      <c r="N7" s="61" t="inlineStr">
        <is>
          <t>kN</t>
        </is>
      </c>
    </row>
    <row r="8" ht="15" customHeight="1" s="47">
      <c r="A8" s="62" t="n">
        <v>0</v>
      </c>
      <c r="B8" s="63">
        <f>A8*0.5</f>
        <v/>
      </c>
      <c r="C8" s="63">
        <f>IF(B8&lt;=Dados!$C$5,B8,2*Dados!$C$5-B8)</f>
        <v/>
      </c>
      <c r="D8" s="63">
        <f>(3*Dados!$C$30*Dados!$C$5*C8/8-Dados!$C$30*C8^2/2)</f>
        <v/>
      </c>
      <c r="E8" s="63">
        <f>(3*Dados!$C$32*Dados!$C$5*C8/8-Dados!$C$32*C8^2/2)</f>
        <v/>
      </c>
      <c r="F8" s="63">
        <f>MAX(0,(3*Dados!$C$33*Dados!$C$5*C8/8-Dados!$C$33*C8^2/2),(7*Dados!$C$33*Dados!$C$5*C8/16-Dados!$C$33*C8^2/2),(-Dados!$C$33*Dados!$C$5*C8/16))</f>
        <v/>
      </c>
      <c r="G8" s="63">
        <f>MIN(0,(3*Dados!$C$33*Dados!$C$5*C8/8-Dados!$C$33*C8^2/2),(7*Dados!$C$33*Dados!$C$5*C8/16-Dados!$C$33*C8^2/2),(-Dados!$C$33*Dados!$C$5*C8/16))</f>
        <v/>
      </c>
      <c r="H8" s="63">
        <f>E8+Dados!$C$34*F8</f>
        <v/>
      </c>
      <c r="I8" s="63">
        <f>E8+Dados!$C$34*G8</f>
        <v/>
      </c>
      <c r="J8" s="63">
        <f>E8+F8</f>
        <v/>
      </c>
      <c r="K8" s="63">
        <f>E8+G8</f>
        <v/>
      </c>
      <c r="L8" s="63">
        <f>IF(B8&lt;=Dados!$C$5,1,-1)*(3*Dados!$C$32*Dados!$C$5/8-Dados!$C$32*C8)</f>
        <v/>
      </c>
      <c r="M8" s="63">
        <f>IF(B8&lt;=Dados!$C$5,MAX(0,(3*Dados!$C$33*Dados!$C$5/8-Dados!$C$33*C8),(7*Dados!$C$33*Dados!$C$5/16-Dados!$C$33*C8),(-Dados!$C$33*Dados!$C$5/16)),-MIN(0,(3*Dados!$C$33*Dados!$C$5/8-Dados!$C$33*C8),(7*Dados!$C$33*Dados!$C$5/16-Dados!$C$33*C8),(-Dados!$C$33*Dados!$C$5/16)))</f>
        <v/>
      </c>
      <c r="N8" s="63">
        <f>IF(B8&lt;=Dados!$C$5,MIN(0,(3*Dados!$C$33*Dados!$C$5/8-Dados!$C$33*C8),(7*Dados!$C$33*Dados!$C$5/16-Dados!$C$33*C8),(-Dados!$C$33*Dados!$C$5/16)),-MAX(0,(3*Dados!$C$33*Dados!$C$5/8-Dados!$C$33*C8),(7*Dados!$C$33*Dados!$C$5/16-Dados!$C$33*C8),(-Dados!$C$33*Dados!$C$5/16)))</f>
        <v/>
      </c>
    </row>
    <row r="9" ht="15" customHeight="1" s="47">
      <c r="A9" s="62" t="n">
        <v>1</v>
      </c>
      <c r="B9" s="63">
        <f>A9*0.5</f>
        <v/>
      </c>
      <c r="C9" s="63">
        <f>IF(B9&lt;=Dados!$C$5,B9,2*Dados!$C$5-B9)</f>
        <v/>
      </c>
      <c r="D9" s="63">
        <f>(3*Dados!$C$30*Dados!$C$5*C9/8-Dados!$C$30*C9^2/2)</f>
        <v/>
      </c>
      <c r="E9" s="63">
        <f>(3*Dados!$C$32*Dados!$C$5*C9/8-Dados!$C$32*C9^2/2)</f>
        <v/>
      </c>
      <c r="F9" s="63">
        <f>MAX(0,(3*Dados!$C$33*Dados!$C$5*C9/8-Dados!$C$33*C9^2/2),(7*Dados!$C$33*Dados!$C$5*C9/16-Dados!$C$33*C9^2/2),(-Dados!$C$33*Dados!$C$5*C9/16))</f>
        <v/>
      </c>
      <c r="G9" s="63">
        <f>MIN(0,(3*Dados!$C$33*Dados!$C$5*C9/8-Dados!$C$33*C9^2/2),(7*Dados!$C$33*Dados!$C$5*C9/16-Dados!$C$33*C9^2/2),(-Dados!$C$33*Dados!$C$5*C9/16))</f>
        <v/>
      </c>
      <c r="H9" s="63">
        <f>E9+Dados!$C$34*F9</f>
        <v/>
      </c>
      <c r="I9" s="63">
        <f>E9+Dados!$C$34*G9</f>
        <v/>
      </c>
      <c r="J9" s="63">
        <f>E9+F9</f>
        <v/>
      </c>
      <c r="K9" s="63">
        <f>E9+G9</f>
        <v/>
      </c>
      <c r="L9" s="63">
        <f>IF(B9&lt;=Dados!$C$5,1,-1)*(3*Dados!$C$32*Dados!$C$5/8-Dados!$C$32*C9)</f>
        <v/>
      </c>
      <c r="M9" s="63">
        <f>IF(B9&lt;=Dados!$C$5,MAX(0,(3*Dados!$C$33*Dados!$C$5/8-Dados!$C$33*C9),(7*Dados!$C$33*Dados!$C$5/16-Dados!$C$33*C9),(-Dados!$C$33*Dados!$C$5/16)),-MIN(0,(3*Dados!$C$33*Dados!$C$5/8-Dados!$C$33*C9),(7*Dados!$C$33*Dados!$C$5/16-Dados!$C$33*C9),(-Dados!$C$33*Dados!$C$5/16)))</f>
        <v/>
      </c>
      <c r="N9" s="63">
        <f>IF(B9&lt;=Dados!$C$5,MIN(0,(3*Dados!$C$33*Dados!$C$5/8-Dados!$C$33*C9),(7*Dados!$C$33*Dados!$C$5/16-Dados!$C$33*C9),(-Dados!$C$33*Dados!$C$5/16)),-MAX(0,(3*Dados!$C$33*Dados!$C$5/8-Dados!$C$33*C9),(7*Dados!$C$33*Dados!$C$5/16-Dados!$C$33*C9),(-Dados!$C$33*Dados!$C$5/16)))</f>
        <v/>
      </c>
    </row>
    <row r="10" ht="15" customHeight="1" s="47">
      <c r="A10" s="62" t="n">
        <v>2</v>
      </c>
      <c r="B10" s="63">
        <f>A10*0.5</f>
        <v/>
      </c>
      <c r="C10" s="63">
        <f>IF(B10&lt;=Dados!$C$5,B10,2*Dados!$C$5-B10)</f>
        <v/>
      </c>
      <c r="D10" s="63">
        <f>(3*Dados!$C$30*Dados!$C$5*C10/8-Dados!$C$30*C10^2/2)</f>
        <v/>
      </c>
      <c r="E10" s="63">
        <f>(3*Dados!$C$32*Dados!$C$5*C10/8-Dados!$C$32*C10^2/2)</f>
        <v/>
      </c>
      <c r="F10" s="63">
        <f>MAX(0,(3*Dados!$C$33*Dados!$C$5*C10/8-Dados!$C$33*C10^2/2),(7*Dados!$C$33*Dados!$C$5*C10/16-Dados!$C$33*C10^2/2),(-Dados!$C$33*Dados!$C$5*C10/16))</f>
        <v/>
      </c>
      <c r="G10" s="63">
        <f>MIN(0,(3*Dados!$C$33*Dados!$C$5*C10/8-Dados!$C$33*C10^2/2),(7*Dados!$C$33*Dados!$C$5*C10/16-Dados!$C$33*C10^2/2),(-Dados!$C$33*Dados!$C$5*C10/16))</f>
        <v/>
      </c>
      <c r="H10" s="63">
        <f>E10+Dados!$C$34*F10</f>
        <v/>
      </c>
      <c r="I10" s="63">
        <f>E10+Dados!$C$34*G10</f>
        <v/>
      </c>
      <c r="J10" s="63">
        <f>E10+F10</f>
        <v/>
      </c>
      <c r="K10" s="63">
        <f>E10+G10</f>
        <v/>
      </c>
      <c r="L10" s="63">
        <f>IF(B10&lt;=Dados!$C$5,1,-1)*(3*Dados!$C$32*Dados!$C$5/8-Dados!$C$32*C10)</f>
        <v/>
      </c>
      <c r="M10" s="63">
        <f>IF(B10&lt;=Dados!$C$5,MAX(0,(3*Dados!$C$33*Dados!$C$5/8-Dados!$C$33*C10),(7*Dados!$C$33*Dados!$C$5/16-Dados!$C$33*C10),(-Dados!$C$33*Dados!$C$5/16)),-MIN(0,(3*Dados!$C$33*Dados!$C$5/8-Dados!$C$33*C10),(7*Dados!$C$33*Dados!$C$5/16-Dados!$C$33*C10),(-Dados!$C$33*Dados!$C$5/16)))</f>
        <v/>
      </c>
      <c r="N10" s="63">
        <f>IF(B10&lt;=Dados!$C$5,MIN(0,(3*Dados!$C$33*Dados!$C$5/8-Dados!$C$33*C10),(7*Dados!$C$33*Dados!$C$5/16-Dados!$C$33*C10),(-Dados!$C$33*Dados!$C$5/16)),-MAX(0,(3*Dados!$C$33*Dados!$C$5/8-Dados!$C$33*C10),(7*Dados!$C$33*Dados!$C$5/16-Dados!$C$33*C10),(-Dados!$C$33*Dados!$C$5/16)))</f>
        <v/>
      </c>
    </row>
    <row r="11" ht="15" customHeight="1" s="47">
      <c r="A11" s="62" t="n">
        <v>3</v>
      </c>
      <c r="B11" s="63">
        <f>A11*0.5</f>
        <v/>
      </c>
      <c r="C11" s="63">
        <f>IF(B11&lt;=Dados!$C$5,B11,2*Dados!$C$5-B11)</f>
        <v/>
      </c>
      <c r="D11" s="63">
        <f>(3*Dados!$C$30*Dados!$C$5*C11/8-Dados!$C$30*C11^2/2)</f>
        <v/>
      </c>
      <c r="E11" s="63">
        <f>(3*Dados!$C$32*Dados!$C$5*C11/8-Dados!$C$32*C11^2/2)</f>
        <v/>
      </c>
      <c r="F11" s="63">
        <f>MAX(0,(3*Dados!$C$33*Dados!$C$5*C11/8-Dados!$C$33*C11^2/2),(7*Dados!$C$33*Dados!$C$5*C11/16-Dados!$C$33*C11^2/2),(-Dados!$C$33*Dados!$C$5*C11/16))</f>
        <v/>
      </c>
      <c r="G11" s="63">
        <f>MIN(0,(3*Dados!$C$33*Dados!$C$5*C11/8-Dados!$C$33*C11^2/2),(7*Dados!$C$33*Dados!$C$5*C11/16-Dados!$C$33*C11^2/2),(-Dados!$C$33*Dados!$C$5*C11/16))</f>
        <v/>
      </c>
      <c r="H11" s="63">
        <f>E11+Dados!$C$34*F11</f>
        <v/>
      </c>
      <c r="I11" s="63">
        <f>E11+Dados!$C$34*G11</f>
        <v/>
      </c>
      <c r="J11" s="63">
        <f>E11+F11</f>
        <v/>
      </c>
      <c r="K11" s="63">
        <f>E11+G11</f>
        <v/>
      </c>
      <c r="L11" s="63">
        <f>IF(B11&lt;=Dados!$C$5,1,-1)*(3*Dados!$C$32*Dados!$C$5/8-Dados!$C$32*C11)</f>
        <v/>
      </c>
      <c r="M11" s="63">
        <f>IF(B11&lt;=Dados!$C$5,MAX(0,(3*Dados!$C$33*Dados!$C$5/8-Dados!$C$33*C11),(7*Dados!$C$33*Dados!$C$5/16-Dados!$C$33*C11),(-Dados!$C$33*Dados!$C$5/16)),-MIN(0,(3*Dados!$C$33*Dados!$C$5/8-Dados!$C$33*C11),(7*Dados!$C$33*Dados!$C$5/16-Dados!$C$33*C11),(-Dados!$C$33*Dados!$C$5/16)))</f>
        <v/>
      </c>
      <c r="N11" s="63">
        <f>IF(B11&lt;=Dados!$C$5,MIN(0,(3*Dados!$C$33*Dados!$C$5/8-Dados!$C$33*C11),(7*Dados!$C$33*Dados!$C$5/16-Dados!$C$33*C11),(-Dados!$C$33*Dados!$C$5/16)),-MAX(0,(3*Dados!$C$33*Dados!$C$5/8-Dados!$C$33*C11),(7*Dados!$C$33*Dados!$C$5/16-Dados!$C$33*C11),(-Dados!$C$33*Dados!$C$5/16)))</f>
        <v/>
      </c>
    </row>
    <row r="12" ht="15" customHeight="1" s="47">
      <c r="A12" s="62" t="n">
        <v>4</v>
      </c>
      <c r="B12" s="63">
        <f>A12*0.5</f>
        <v/>
      </c>
      <c r="C12" s="63">
        <f>IF(B12&lt;=Dados!$C$5,B12,2*Dados!$C$5-B12)</f>
        <v/>
      </c>
      <c r="D12" s="63">
        <f>(3*Dados!$C$30*Dados!$C$5*C12/8-Dados!$C$30*C12^2/2)</f>
        <v/>
      </c>
      <c r="E12" s="63">
        <f>(3*Dados!$C$32*Dados!$C$5*C12/8-Dados!$C$32*C12^2/2)</f>
        <v/>
      </c>
      <c r="F12" s="63">
        <f>MAX(0,(3*Dados!$C$33*Dados!$C$5*C12/8-Dados!$C$33*C12^2/2),(7*Dados!$C$33*Dados!$C$5*C12/16-Dados!$C$33*C12^2/2),(-Dados!$C$33*Dados!$C$5*C12/16))</f>
        <v/>
      </c>
      <c r="G12" s="63">
        <f>MIN(0,(3*Dados!$C$33*Dados!$C$5*C12/8-Dados!$C$33*C12^2/2),(7*Dados!$C$33*Dados!$C$5*C12/16-Dados!$C$33*C12^2/2),(-Dados!$C$33*Dados!$C$5*C12/16))</f>
        <v/>
      </c>
      <c r="H12" s="63">
        <f>E12+Dados!$C$34*F12</f>
        <v/>
      </c>
      <c r="I12" s="63">
        <f>E12+Dados!$C$34*G12</f>
        <v/>
      </c>
      <c r="J12" s="63">
        <f>E12+F12</f>
        <v/>
      </c>
      <c r="K12" s="63">
        <f>E12+G12</f>
        <v/>
      </c>
      <c r="L12" s="63">
        <f>IF(B12&lt;=Dados!$C$5,1,-1)*(3*Dados!$C$32*Dados!$C$5/8-Dados!$C$32*C12)</f>
        <v/>
      </c>
      <c r="M12" s="63">
        <f>IF(B12&lt;=Dados!$C$5,MAX(0,(3*Dados!$C$33*Dados!$C$5/8-Dados!$C$33*C12),(7*Dados!$C$33*Dados!$C$5/16-Dados!$C$33*C12),(-Dados!$C$33*Dados!$C$5/16)),-MIN(0,(3*Dados!$C$33*Dados!$C$5/8-Dados!$C$33*C12),(7*Dados!$C$33*Dados!$C$5/16-Dados!$C$33*C12),(-Dados!$C$33*Dados!$C$5/16)))</f>
        <v/>
      </c>
      <c r="N12" s="63">
        <f>IF(B12&lt;=Dados!$C$5,MIN(0,(3*Dados!$C$33*Dados!$C$5/8-Dados!$C$33*C12),(7*Dados!$C$33*Dados!$C$5/16-Dados!$C$33*C12),(-Dados!$C$33*Dados!$C$5/16)),-MAX(0,(3*Dados!$C$33*Dados!$C$5/8-Dados!$C$33*C12),(7*Dados!$C$33*Dados!$C$5/16-Dados!$C$33*C12),(-Dados!$C$33*Dados!$C$5/16)))</f>
        <v/>
      </c>
    </row>
    <row r="13" ht="15" customHeight="1" s="47">
      <c r="A13" s="62" t="n">
        <v>5</v>
      </c>
      <c r="B13" s="63">
        <f>A13*0.5</f>
        <v/>
      </c>
      <c r="C13" s="63">
        <f>IF(B13&lt;=Dados!$C$5,B13,2*Dados!$C$5-B13)</f>
        <v/>
      </c>
      <c r="D13" s="63">
        <f>(3*Dados!$C$30*Dados!$C$5*C13/8-Dados!$C$30*C13^2/2)</f>
        <v/>
      </c>
      <c r="E13" s="63">
        <f>(3*Dados!$C$32*Dados!$C$5*C13/8-Dados!$C$32*C13^2/2)</f>
        <v/>
      </c>
      <c r="F13" s="63">
        <f>MAX(0,(3*Dados!$C$33*Dados!$C$5*C13/8-Dados!$C$33*C13^2/2),(7*Dados!$C$33*Dados!$C$5*C13/16-Dados!$C$33*C13^2/2),(-Dados!$C$33*Dados!$C$5*C13/16))</f>
        <v/>
      </c>
      <c r="G13" s="63">
        <f>MIN(0,(3*Dados!$C$33*Dados!$C$5*C13/8-Dados!$C$33*C13^2/2),(7*Dados!$C$33*Dados!$C$5*C13/16-Dados!$C$33*C13^2/2),(-Dados!$C$33*Dados!$C$5*C13/16))</f>
        <v/>
      </c>
      <c r="H13" s="63">
        <f>E13+Dados!$C$34*F13</f>
        <v/>
      </c>
      <c r="I13" s="63">
        <f>E13+Dados!$C$34*G13</f>
        <v/>
      </c>
      <c r="J13" s="63">
        <f>E13+F13</f>
        <v/>
      </c>
      <c r="K13" s="63">
        <f>E13+G13</f>
        <v/>
      </c>
      <c r="L13" s="63">
        <f>IF(B13&lt;=Dados!$C$5,1,-1)*(3*Dados!$C$32*Dados!$C$5/8-Dados!$C$32*C13)</f>
        <v/>
      </c>
      <c r="M13" s="63">
        <f>IF(B13&lt;=Dados!$C$5,MAX(0,(3*Dados!$C$33*Dados!$C$5/8-Dados!$C$33*C13),(7*Dados!$C$33*Dados!$C$5/16-Dados!$C$33*C13),(-Dados!$C$33*Dados!$C$5/16)),-MIN(0,(3*Dados!$C$33*Dados!$C$5/8-Dados!$C$33*C13),(7*Dados!$C$33*Dados!$C$5/16-Dados!$C$33*C13),(-Dados!$C$33*Dados!$C$5/16)))</f>
        <v/>
      </c>
      <c r="N13" s="63">
        <f>IF(B13&lt;=Dados!$C$5,MIN(0,(3*Dados!$C$33*Dados!$C$5/8-Dados!$C$33*C13),(7*Dados!$C$33*Dados!$C$5/16-Dados!$C$33*C13),(-Dados!$C$33*Dados!$C$5/16)),-MAX(0,(3*Dados!$C$33*Dados!$C$5/8-Dados!$C$33*C13),(7*Dados!$C$33*Dados!$C$5/16-Dados!$C$33*C13),(-Dados!$C$33*Dados!$C$5/16)))</f>
        <v/>
      </c>
    </row>
    <row r="14" ht="15" customHeight="1" s="47">
      <c r="A14" s="62" t="n">
        <v>6</v>
      </c>
      <c r="B14" s="63">
        <f>A14*0.5</f>
        <v/>
      </c>
      <c r="C14" s="63">
        <f>IF(B14&lt;=Dados!$C$5,B14,2*Dados!$C$5-B14)</f>
        <v/>
      </c>
      <c r="D14" s="63">
        <f>(3*Dados!$C$30*Dados!$C$5*C14/8-Dados!$C$30*C14^2/2)</f>
        <v/>
      </c>
      <c r="E14" s="63">
        <f>(3*Dados!$C$32*Dados!$C$5*C14/8-Dados!$C$32*C14^2/2)</f>
        <v/>
      </c>
      <c r="F14" s="63">
        <f>MAX(0,(3*Dados!$C$33*Dados!$C$5*C14/8-Dados!$C$33*C14^2/2),(7*Dados!$C$33*Dados!$C$5*C14/16-Dados!$C$33*C14^2/2),(-Dados!$C$33*Dados!$C$5*C14/16))</f>
        <v/>
      </c>
      <c r="G14" s="63">
        <f>MIN(0,(3*Dados!$C$33*Dados!$C$5*C14/8-Dados!$C$33*C14^2/2),(7*Dados!$C$33*Dados!$C$5*C14/16-Dados!$C$33*C14^2/2),(-Dados!$C$33*Dados!$C$5*C14/16))</f>
        <v/>
      </c>
      <c r="H14" s="63">
        <f>E14+Dados!$C$34*F14</f>
        <v/>
      </c>
      <c r="I14" s="63">
        <f>E14+Dados!$C$34*G14</f>
        <v/>
      </c>
      <c r="J14" s="63">
        <f>E14+F14</f>
        <v/>
      </c>
      <c r="K14" s="63">
        <f>E14+G14</f>
        <v/>
      </c>
      <c r="L14" s="63">
        <f>IF(B14&lt;=Dados!$C$5,1,-1)*(3*Dados!$C$32*Dados!$C$5/8-Dados!$C$32*C14)</f>
        <v/>
      </c>
      <c r="M14" s="63">
        <f>IF(B14&lt;=Dados!$C$5,MAX(0,(3*Dados!$C$33*Dados!$C$5/8-Dados!$C$33*C14),(7*Dados!$C$33*Dados!$C$5/16-Dados!$C$33*C14),(-Dados!$C$33*Dados!$C$5/16)),-MIN(0,(3*Dados!$C$33*Dados!$C$5/8-Dados!$C$33*C14),(7*Dados!$C$33*Dados!$C$5/16-Dados!$C$33*C14),(-Dados!$C$33*Dados!$C$5/16)))</f>
        <v/>
      </c>
      <c r="N14" s="63">
        <f>IF(B14&lt;=Dados!$C$5,MIN(0,(3*Dados!$C$33*Dados!$C$5/8-Dados!$C$33*C14),(7*Dados!$C$33*Dados!$C$5/16-Dados!$C$33*C14),(-Dados!$C$33*Dados!$C$5/16)),-MAX(0,(3*Dados!$C$33*Dados!$C$5/8-Dados!$C$33*C14),(7*Dados!$C$33*Dados!$C$5/16-Dados!$C$33*C14),(-Dados!$C$33*Dados!$C$5/16)))</f>
        <v/>
      </c>
    </row>
    <row r="15" ht="15" customHeight="1" s="47">
      <c r="A15" s="62" t="n">
        <v>7</v>
      </c>
      <c r="B15" s="63">
        <f>A15*0.5</f>
        <v/>
      </c>
      <c r="C15" s="63">
        <f>IF(B15&lt;=Dados!$C$5,B15,2*Dados!$C$5-B15)</f>
        <v/>
      </c>
      <c r="D15" s="63">
        <f>(3*Dados!$C$30*Dados!$C$5*C15/8-Dados!$C$30*C15^2/2)</f>
        <v/>
      </c>
      <c r="E15" s="63">
        <f>(3*Dados!$C$32*Dados!$C$5*C15/8-Dados!$C$32*C15^2/2)</f>
        <v/>
      </c>
      <c r="F15" s="63">
        <f>MAX(0,(3*Dados!$C$33*Dados!$C$5*C15/8-Dados!$C$33*C15^2/2),(7*Dados!$C$33*Dados!$C$5*C15/16-Dados!$C$33*C15^2/2),(-Dados!$C$33*Dados!$C$5*C15/16))</f>
        <v/>
      </c>
      <c r="G15" s="63">
        <f>MIN(0,(3*Dados!$C$33*Dados!$C$5*C15/8-Dados!$C$33*C15^2/2),(7*Dados!$C$33*Dados!$C$5*C15/16-Dados!$C$33*C15^2/2),(-Dados!$C$33*Dados!$C$5*C15/16))</f>
        <v/>
      </c>
      <c r="H15" s="63">
        <f>E15+Dados!$C$34*F15</f>
        <v/>
      </c>
      <c r="I15" s="63">
        <f>E15+Dados!$C$34*G15</f>
        <v/>
      </c>
      <c r="J15" s="63">
        <f>E15+F15</f>
        <v/>
      </c>
      <c r="K15" s="63">
        <f>E15+G15</f>
        <v/>
      </c>
      <c r="L15" s="63">
        <f>IF(B15&lt;=Dados!$C$5,1,-1)*(3*Dados!$C$32*Dados!$C$5/8-Dados!$C$32*C15)</f>
        <v/>
      </c>
      <c r="M15" s="63">
        <f>IF(B15&lt;=Dados!$C$5,MAX(0,(3*Dados!$C$33*Dados!$C$5/8-Dados!$C$33*C15),(7*Dados!$C$33*Dados!$C$5/16-Dados!$C$33*C15),(-Dados!$C$33*Dados!$C$5/16)),-MIN(0,(3*Dados!$C$33*Dados!$C$5/8-Dados!$C$33*C15),(7*Dados!$C$33*Dados!$C$5/16-Dados!$C$33*C15),(-Dados!$C$33*Dados!$C$5/16)))</f>
        <v/>
      </c>
      <c r="N15" s="63">
        <f>IF(B15&lt;=Dados!$C$5,MIN(0,(3*Dados!$C$33*Dados!$C$5/8-Dados!$C$33*C15),(7*Dados!$C$33*Dados!$C$5/16-Dados!$C$33*C15),(-Dados!$C$33*Dados!$C$5/16)),-MAX(0,(3*Dados!$C$33*Dados!$C$5/8-Dados!$C$33*C15),(7*Dados!$C$33*Dados!$C$5/16-Dados!$C$33*C15),(-Dados!$C$33*Dados!$C$5/16)))</f>
        <v/>
      </c>
    </row>
    <row r="16" ht="15" customHeight="1" s="47">
      <c r="A16" s="62" t="n">
        <v>8</v>
      </c>
      <c r="B16" s="63">
        <f>A16*0.5</f>
        <v/>
      </c>
      <c r="C16" s="63">
        <f>IF(B16&lt;=Dados!$C$5,B16,2*Dados!$C$5-B16)</f>
        <v/>
      </c>
      <c r="D16" s="63">
        <f>(3*Dados!$C$30*Dados!$C$5*C16/8-Dados!$C$30*C16^2/2)</f>
        <v/>
      </c>
      <c r="E16" s="63">
        <f>(3*Dados!$C$32*Dados!$C$5*C16/8-Dados!$C$32*C16^2/2)</f>
        <v/>
      </c>
      <c r="F16" s="63">
        <f>MAX(0,(3*Dados!$C$33*Dados!$C$5*C16/8-Dados!$C$33*C16^2/2),(7*Dados!$C$33*Dados!$C$5*C16/16-Dados!$C$33*C16^2/2),(-Dados!$C$33*Dados!$C$5*C16/16))</f>
        <v/>
      </c>
      <c r="G16" s="63">
        <f>MIN(0,(3*Dados!$C$33*Dados!$C$5*C16/8-Dados!$C$33*C16^2/2),(7*Dados!$C$33*Dados!$C$5*C16/16-Dados!$C$33*C16^2/2),(-Dados!$C$33*Dados!$C$5*C16/16))</f>
        <v/>
      </c>
      <c r="H16" s="63">
        <f>E16+Dados!$C$34*F16</f>
        <v/>
      </c>
      <c r="I16" s="63">
        <f>E16+Dados!$C$34*G16</f>
        <v/>
      </c>
      <c r="J16" s="63">
        <f>E16+F16</f>
        <v/>
      </c>
      <c r="K16" s="63">
        <f>E16+G16</f>
        <v/>
      </c>
      <c r="L16" s="63">
        <f>IF(B16&lt;=Dados!$C$5,1,-1)*(3*Dados!$C$32*Dados!$C$5/8-Dados!$C$32*C16)</f>
        <v/>
      </c>
      <c r="M16" s="63">
        <f>IF(B16&lt;=Dados!$C$5,MAX(0,(3*Dados!$C$33*Dados!$C$5/8-Dados!$C$33*C16),(7*Dados!$C$33*Dados!$C$5/16-Dados!$C$33*C16),(-Dados!$C$33*Dados!$C$5/16)),-MIN(0,(3*Dados!$C$33*Dados!$C$5/8-Dados!$C$33*C16),(7*Dados!$C$33*Dados!$C$5/16-Dados!$C$33*C16),(-Dados!$C$33*Dados!$C$5/16)))</f>
        <v/>
      </c>
      <c r="N16" s="63">
        <f>IF(B16&lt;=Dados!$C$5,MIN(0,(3*Dados!$C$33*Dados!$C$5/8-Dados!$C$33*C16),(7*Dados!$C$33*Dados!$C$5/16-Dados!$C$33*C16),(-Dados!$C$33*Dados!$C$5/16)),-MAX(0,(3*Dados!$C$33*Dados!$C$5/8-Dados!$C$33*C16),(7*Dados!$C$33*Dados!$C$5/16-Dados!$C$33*C16),(-Dados!$C$33*Dados!$C$5/16)))</f>
        <v/>
      </c>
    </row>
    <row r="17" ht="15" customHeight="1" s="47">
      <c r="A17" s="62" t="n">
        <v>9</v>
      </c>
      <c r="B17" s="63">
        <f>A17*0.5</f>
        <v/>
      </c>
      <c r="C17" s="63">
        <f>IF(B17&lt;=Dados!$C$5,B17,2*Dados!$C$5-B17)</f>
        <v/>
      </c>
      <c r="D17" s="63">
        <f>(3*Dados!$C$30*Dados!$C$5*C17/8-Dados!$C$30*C17^2/2)</f>
        <v/>
      </c>
      <c r="E17" s="63">
        <f>(3*Dados!$C$32*Dados!$C$5*C17/8-Dados!$C$32*C17^2/2)</f>
        <v/>
      </c>
      <c r="F17" s="63">
        <f>MAX(0,(3*Dados!$C$33*Dados!$C$5*C17/8-Dados!$C$33*C17^2/2),(7*Dados!$C$33*Dados!$C$5*C17/16-Dados!$C$33*C17^2/2),(-Dados!$C$33*Dados!$C$5*C17/16))</f>
        <v/>
      </c>
      <c r="G17" s="63">
        <f>MIN(0,(3*Dados!$C$33*Dados!$C$5*C17/8-Dados!$C$33*C17^2/2),(7*Dados!$C$33*Dados!$C$5*C17/16-Dados!$C$33*C17^2/2),(-Dados!$C$33*Dados!$C$5*C17/16))</f>
        <v/>
      </c>
      <c r="H17" s="63">
        <f>E17+Dados!$C$34*F17</f>
        <v/>
      </c>
      <c r="I17" s="63">
        <f>E17+Dados!$C$34*G17</f>
        <v/>
      </c>
      <c r="J17" s="63">
        <f>E17+F17</f>
        <v/>
      </c>
      <c r="K17" s="63">
        <f>E17+G17</f>
        <v/>
      </c>
      <c r="L17" s="63">
        <f>IF(B17&lt;=Dados!$C$5,1,-1)*(3*Dados!$C$32*Dados!$C$5/8-Dados!$C$32*C17)</f>
        <v/>
      </c>
      <c r="M17" s="63">
        <f>IF(B17&lt;=Dados!$C$5,MAX(0,(3*Dados!$C$33*Dados!$C$5/8-Dados!$C$33*C17),(7*Dados!$C$33*Dados!$C$5/16-Dados!$C$33*C17),(-Dados!$C$33*Dados!$C$5/16)),-MIN(0,(3*Dados!$C$33*Dados!$C$5/8-Dados!$C$33*C17),(7*Dados!$C$33*Dados!$C$5/16-Dados!$C$33*C17),(-Dados!$C$33*Dados!$C$5/16)))</f>
        <v/>
      </c>
      <c r="N17" s="63">
        <f>IF(B17&lt;=Dados!$C$5,MIN(0,(3*Dados!$C$33*Dados!$C$5/8-Dados!$C$33*C17),(7*Dados!$C$33*Dados!$C$5/16-Dados!$C$33*C17),(-Dados!$C$33*Dados!$C$5/16)),-MAX(0,(3*Dados!$C$33*Dados!$C$5/8-Dados!$C$33*C17),(7*Dados!$C$33*Dados!$C$5/16-Dados!$C$33*C17),(-Dados!$C$33*Dados!$C$5/16)))</f>
        <v/>
      </c>
    </row>
    <row r="18" ht="15" customHeight="1" s="47">
      <c r="A18" s="62" t="n">
        <v>10</v>
      </c>
      <c r="B18" s="63">
        <f>A18*0.5</f>
        <v/>
      </c>
      <c r="C18" s="63">
        <f>IF(B18&lt;=Dados!$C$5,B18,2*Dados!$C$5-B18)</f>
        <v/>
      </c>
      <c r="D18" s="63">
        <f>(3*Dados!$C$30*Dados!$C$5*C18/8-Dados!$C$30*C18^2/2)</f>
        <v/>
      </c>
      <c r="E18" s="63">
        <f>(3*Dados!$C$32*Dados!$C$5*C18/8-Dados!$C$32*C18^2/2)</f>
        <v/>
      </c>
      <c r="F18" s="63">
        <f>MAX(0,(3*Dados!$C$33*Dados!$C$5*C18/8-Dados!$C$33*C18^2/2),(7*Dados!$C$33*Dados!$C$5*C18/16-Dados!$C$33*C18^2/2),(-Dados!$C$33*Dados!$C$5*C18/16))</f>
        <v/>
      </c>
      <c r="G18" s="63">
        <f>MIN(0,(3*Dados!$C$33*Dados!$C$5*C18/8-Dados!$C$33*C18^2/2),(7*Dados!$C$33*Dados!$C$5*C18/16-Dados!$C$33*C18^2/2),(-Dados!$C$33*Dados!$C$5*C18/16))</f>
        <v/>
      </c>
      <c r="H18" s="63">
        <f>E18+Dados!$C$34*F18</f>
        <v/>
      </c>
      <c r="I18" s="63">
        <f>E18+Dados!$C$34*G18</f>
        <v/>
      </c>
      <c r="J18" s="63">
        <f>E18+F18</f>
        <v/>
      </c>
      <c r="K18" s="63">
        <f>E18+G18</f>
        <v/>
      </c>
      <c r="L18" s="63">
        <f>IF(B18&lt;=Dados!$C$5,1,-1)*(3*Dados!$C$32*Dados!$C$5/8-Dados!$C$32*C18)</f>
        <v/>
      </c>
      <c r="M18" s="63">
        <f>IF(B18&lt;=Dados!$C$5,MAX(0,(3*Dados!$C$33*Dados!$C$5/8-Dados!$C$33*C18),(7*Dados!$C$33*Dados!$C$5/16-Dados!$C$33*C18),(-Dados!$C$33*Dados!$C$5/16)),-MIN(0,(3*Dados!$C$33*Dados!$C$5/8-Dados!$C$33*C18),(7*Dados!$C$33*Dados!$C$5/16-Dados!$C$33*C18),(-Dados!$C$33*Dados!$C$5/16)))</f>
        <v/>
      </c>
      <c r="N18" s="63">
        <f>IF(B18&lt;=Dados!$C$5,MIN(0,(3*Dados!$C$33*Dados!$C$5/8-Dados!$C$33*C18),(7*Dados!$C$33*Dados!$C$5/16-Dados!$C$33*C18),(-Dados!$C$33*Dados!$C$5/16)),-MAX(0,(3*Dados!$C$33*Dados!$C$5/8-Dados!$C$33*C18),(7*Dados!$C$33*Dados!$C$5/16-Dados!$C$33*C18),(-Dados!$C$33*Dados!$C$5/16)))</f>
        <v/>
      </c>
    </row>
    <row r="19" ht="15" customHeight="1" s="47">
      <c r="A19" s="62" t="n">
        <v>11</v>
      </c>
      <c r="B19" s="63">
        <f>A19*0.5</f>
        <v/>
      </c>
      <c r="C19" s="63">
        <f>IF(B19&lt;=Dados!$C$5,B19,2*Dados!$C$5-B19)</f>
        <v/>
      </c>
      <c r="D19" s="63">
        <f>(3*Dados!$C$30*Dados!$C$5*C19/8-Dados!$C$30*C19^2/2)</f>
        <v/>
      </c>
      <c r="E19" s="63">
        <f>(3*Dados!$C$32*Dados!$C$5*C19/8-Dados!$C$32*C19^2/2)</f>
        <v/>
      </c>
      <c r="F19" s="63">
        <f>MAX(0,(3*Dados!$C$33*Dados!$C$5*C19/8-Dados!$C$33*C19^2/2),(7*Dados!$C$33*Dados!$C$5*C19/16-Dados!$C$33*C19^2/2),(-Dados!$C$33*Dados!$C$5*C19/16))</f>
        <v/>
      </c>
      <c r="G19" s="63">
        <f>MIN(0,(3*Dados!$C$33*Dados!$C$5*C19/8-Dados!$C$33*C19^2/2),(7*Dados!$C$33*Dados!$C$5*C19/16-Dados!$C$33*C19^2/2),(-Dados!$C$33*Dados!$C$5*C19/16))</f>
        <v/>
      </c>
      <c r="H19" s="63">
        <f>E19+Dados!$C$34*F19</f>
        <v/>
      </c>
      <c r="I19" s="63">
        <f>E19+Dados!$C$34*G19</f>
        <v/>
      </c>
      <c r="J19" s="63">
        <f>E19+F19</f>
        <v/>
      </c>
      <c r="K19" s="63">
        <f>E19+G19</f>
        <v/>
      </c>
      <c r="L19" s="63">
        <f>IF(B19&lt;=Dados!$C$5,1,-1)*(3*Dados!$C$32*Dados!$C$5/8-Dados!$C$32*C19)</f>
        <v/>
      </c>
      <c r="M19" s="63">
        <f>IF(B19&lt;=Dados!$C$5,MAX(0,(3*Dados!$C$33*Dados!$C$5/8-Dados!$C$33*C19),(7*Dados!$C$33*Dados!$C$5/16-Dados!$C$33*C19),(-Dados!$C$33*Dados!$C$5/16)),-MIN(0,(3*Dados!$C$33*Dados!$C$5/8-Dados!$C$33*C19),(7*Dados!$C$33*Dados!$C$5/16-Dados!$C$33*C19),(-Dados!$C$33*Dados!$C$5/16)))</f>
        <v/>
      </c>
      <c r="N19" s="63">
        <f>IF(B19&lt;=Dados!$C$5,MIN(0,(3*Dados!$C$33*Dados!$C$5/8-Dados!$C$33*C19),(7*Dados!$C$33*Dados!$C$5/16-Dados!$C$33*C19),(-Dados!$C$33*Dados!$C$5/16)),-MAX(0,(3*Dados!$C$33*Dados!$C$5/8-Dados!$C$33*C19),(7*Dados!$C$33*Dados!$C$5/16-Dados!$C$33*C19),(-Dados!$C$33*Dados!$C$5/16)))</f>
        <v/>
      </c>
    </row>
    <row r="20" ht="15" customHeight="1" s="47">
      <c r="A20" s="62" t="n">
        <v>12</v>
      </c>
      <c r="B20" s="63">
        <f>A20*0.5</f>
        <v/>
      </c>
      <c r="C20" s="63">
        <f>IF(B20&lt;=Dados!$C$5,B20,2*Dados!$C$5-B20)</f>
        <v/>
      </c>
      <c r="D20" s="63">
        <f>(3*Dados!$C$30*Dados!$C$5*C20/8-Dados!$C$30*C20^2/2)</f>
        <v/>
      </c>
      <c r="E20" s="63">
        <f>(3*Dados!$C$32*Dados!$C$5*C20/8-Dados!$C$32*C20^2/2)</f>
        <v/>
      </c>
      <c r="F20" s="63">
        <f>MAX(0,(3*Dados!$C$33*Dados!$C$5*C20/8-Dados!$C$33*C20^2/2),(7*Dados!$C$33*Dados!$C$5*C20/16-Dados!$C$33*C20^2/2),(-Dados!$C$33*Dados!$C$5*C20/16))</f>
        <v/>
      </c>
      <c r="G20" s="63">
        <f>MIN(0,(3*Dados!$C$33*Dados!$C$5*C20/8-Dados!$C$33*C20^2/2),(7*Dados!$C$33*Dados!$C$5*C20/16-Dados!$C$33*C20^2/2),(-Dados!$C$33*Dados!$C$5*C20/16))</f>
        <v/>
      </c>
      <c r="H20" s="63">
        <f>E20+Dados!$C$34*F20</f>
        <v/>
      </c>
      <c r="I20" s="63">
        <f>E20+Dados!$C$34*G20</f>
        <v/>
      </c>
      <c r="J20" s="63">
        <f>E20+F20</f>
        <v/>
      </c>
      <c r="K20" s="63">
        <f>E20+G20</f>
        <v/>
      </c>
      <c r="L20" s="63">
        <f>IF(B20&lt;=Dados!$C$5,1,-1)*(3*Dados!$C$32*Dados!$C$5/8-Dados!$C$32*C20)</f>
        <v/>
      </c>
      <c r="M20" s="63">
        <f>IF(B20&lt;=Dados!$C$5,MAX(0,(3*Dados!$C$33*Dados!$C$5/8-Dados!$C$33*C20),(7*Dados!$C$33*Dados!$C$5/16-Dados!$C$33*C20),(-Dados!$C$33*Dados!$C$5/16)),-MIN(0,(3*Dados!$C$33*Dados!$C$5/8-Dados!$C$33*C20),(7*Dados!$C$33*Dados!$C$5/16-Dados!$C$33*C20),(-Dados!$C$33*Dados!$C$5/16)))</f>
        <v/>
      </c>
      <c r="N20" s="63">
        <f>IF(B20&lt;=Dados!$C$5,MIN(0,(3*Dados!$C$33*Dados!$C$5/8-Dados!$C$33*C20),(7*Dados!$C$33*Dados!$C$5/16-Dados!$C$33*C20),(-Dados!$C$33*Dados!$C$5/16)),-MAX(0,(3*Dados!$C$33*Dados!$C$5/8-Dados!$C$33*C20),(7*Dados!$C$33*Dados!$C$5/16-Dados!$C$33*C20),(-Dados!$C$33*Dados!$C$5/16)))</f>
        <v/>
      </c>
    </row>
    <row r="21" ht="15" customHeight="1" s="47">
      <c r="A21" s="62" t="n">
        <v>13</v>
      </c>
      <c r="B21" s="63">
        <f>A21*0.5</f>
        <v/>
      </c>
      <c r="C21" s="63">
        <f>IF(B21&lt;=Dados!$C$5,B21,2*Dados!$C$5-B21)</f>
        <v/>
      </c>
      <c r="D21" s="63">
        <f>(3*Dados!$C$30*Dados!$C$5*C21/8-Dados!$C$30*C21^2/2)</f>
        <v/>
      </c>
      <c r="E21" s="63">
        <f>(3*Dados!$C$32*Dados!$C$5*C21/8-Dados!$C$32*C21^2/2)</f>
        <v/>
      </c>
      <c r="F21" s="63">
        <f>MAX(0,(3*Dados!$C$33*Dados!$C$5*C21/8-Dados!$C$33*C21^2/2),(7*Dados!$C$33*Dados!$C$5*C21/16-Dados!$C$33*C21^2/2),(-Dados!$C$33*Dados!$C$5*C21/16))</f>
        <v/>
      </c>
      <c r="G21" s="63">
        <f>MIN(0,(3*Dados!$C$33*Dados!$C$5*C21/8-Dados!$C$33*C21^2/2),(7*Dados!$C$33*Dados!$C$5*C21/16-Dados!$C$33*C21^2/2),(-Dados!$C$33*Dados!$C$5*C21/16))</f>
        <v/>
      </c>
      <c r="H21" s="63">
        <f>E21+Dados!$C$34*F21</f>
        <v/>
      </c>
      <c r="I21" s="63">
        <f>E21+Dados!$C$34*G21</f>
        <v/>
      </c>
      <c r="J21" s="63">
        <f>E21+F21</f>
        <v/>
      </c>
      <c r="K21" s="63">
        <f>E21+G21</f>
        <v/>
      </c>
      <c r="L21" s="63">
        <f>IF(B21&lt;=Dados!$C$5,1,-1)*(3*Dados!$C$32*Dados!$C$5/8-Dados!$C$32*C21)</f>
        <v/>
      </c>
      <c r="M21" s="63">
        <f>IF(B21&lt;=Dados!$C$5,MAX(0,(3*Dados!$C$33*Dados!$C$5/8-Dados!$C$33*C21),(7*Dados!$C$33*Dados!$C$5/16-Dados!$C$33*C21),(-Dados!$C$33*Dados!$C$5/16)),-MIN(0,(3*Dados!$C$33*Dados!$C$5/8-Dados!$C$33*C21),(7*Dados!$C$33*Dados!$C$5/16-Dados!$C$33*C21),(-Dados!$C$33*Dados!$C$5/16)))</f>
        <v/>
      </c>
      <c r="N21" s="63">
        <f>IF(B21&lt;=Dados!$C$5,MIN(0,(3*Dados!$C$33*Dados!$C$5/8-Dados!$C$33*C21),(7*Dados!$C$33*Dados!$C$5/16-Dados!$C$33*C21),(-Dados!$C$33*Dados!$C$5/16)),-MAX(0,(3*Dados!$C$33*Dados!$C$5/8-Dados!$C$33*C21),(7*Dados!$C$33*Dados!$C$5/16-Dados!$C$33*C21),(-Dados!$C$33*Dados!$C$5/16)))</f>
        <v/>
      </c>
    </row>
    <row r="22" ht="15" customHeight="1" s="47">
      <c r="A22" s="62" t="n">
        <v>14</v>
      </c>
      <c r="B22" s="63">
        <f>A22*0.5</f>
        <v/>
      </c>
      <c r="C22" s="63">
        <f>IF(B22&lt;=Dados!$C$5,B22,2*Dados!$C$5-B22)</f>
        <v/>
      </c>
      <c r="D22" s="63">
        <f>(3*Dados!$C$30*Dados!$C$5*C22/8-Dados!$C$30*C22^2/2)</f>
        <v/>
      </c>
      <c r="E22" s="63">
        <f>(3*Dados!$C$32*Dados!$C$5*C22/8-Dados!$C$32*C22^2/2)</f>
        <v/>
      </c>
      <c r="F22" s="63">
        <f>MAX(0,(3*Dados!$C$33*Dados!$C$5*C22/8-Dados!$C$33*C22^2/2),(7*Dados!$C$33*Dados!$C$5*C22/16-Dados!$C$33*C22^2/2),(-Dados!$C$33*Dados!$C$5*C22/16))</f>
        <v/>
      </c>
      <c r="G22" s="63">
        <f>MIN(0,(3*Dados!$C$33*Dados!$C$5*C22/8-Dados!$C$33*C22^2/2),(7*Dados!$C$33*Dados!$C$5*C22/16-Dados!$C$33*C22^2/2),(-Dados!$C$33*Dados!$C$5*C22/16))</f>
        <v/>
      </c>
      <c r="H22" s="63">
        <f>E22+Dados!$C$34*F22</f>
        <v/>
      </c>
      <c r="I22" s="63">
        <f>E22+Dados!$C$34*G22</f>
        <v/>
      </c>
      <c r="J22" s="63">
        <f>E22+F22</f>
        <v/>
      </c>
      <c r="K22" s="63">
        <f>E22+G22</f>
        <v/>
      </c>
      <c r="L22" s="63">
        <f>IF(B22&lt;=Dados!$C$5,1,-1)*(3*Dados!$C$32*Dados!$C$5/8-Dados!$C$32*C22)</f>
        <v/>
      </c>
      <c r="M22" s="63">
        <f>IF(B22&lt;=Dados!$C$5,MAX(0,(3*Dados!$C$33*Dados!$C$5/8-Dados!$C$33*C22),(7*Dados!$C$33*Dados!$C$5/16-Dados!$C$33*C22),(-Dados!$C$33*Dados!$C$5/16)),-MIN(0,(3*Dados!$C$33*Dados!$C$5/8-Dados!$C$33*C22),(7*Dados!$C$33*Dados!$C$5/16-Dados!$C$33*C22),(-Dados!$C$33*Dados!$C$5/16)))</f>
        <v/>
      </c>
      <c r="N22" s="63">
        <f>IF(B22&lt;=Dados!$C$5,MIN(0,(3*Dados!$C$33*Dados!$C$5/8-Dados!$C$33*C22),(7*Dados!$C$33*Dados!$C$5/16-Dados!$C$33*C22),(-Dados!$C$33*Dados!$C$5/16)),-MAX(0,(3*Dados!$C$33*Dados!$C$5/8-Dados!$C$33*C22),(7*Dados!$C$33*Dados!$C$5/16-Dados!$C$33*C22),(-Dados!$C$33*Dados!$C$5/16)))</f>
        <v/>
      </c>
    </row>
    <row r="23" ht="15" customHeight="1" s="47">
      <c r="A23" s="62" t="n">
        <v>15</v>
      </c>
      <c r="B23" s="63">
        <f>A23*0.5</f>
        <v/>
      </c>
      <c r="C23" s="63">
        <f>IF(B23&lt;=Dados!$C$5,B23,2*Dados!$C$5-B23)</f>
        <v/>
      </c>
      <c r="D23" s="63">
        <f>(3*Dados!$C$30*Dados!$C$5*C23/8-Dados!$C$30*C23^2/2)</f>
        <v/>
      </c>
      <c r="E23" s="63">
        <f>(3*Dados!$C$32*Dados!$C$5*C23/8-Dados!$C$32*C23^2/2)</f>
        <v/>
      </c>
      <c r="F23" s="63">
        <f>MAX(0,(3*Dados!$C$33*Dados!$C$5*C23/8-Dados!$C$33*C23^2/2),(7*Dados!$C$33*Dados!$C$5*C23/16-Dados!$C$33*C23^2/2),(-Dados!$C$33*Dados!$C$5*C23/16))</f>
        <v/>
      </c>
      <c r="G23" s="63">
        <f>MIN(0,(3*Dados!$C$33*Dados!$C$5*C23/8-Dados!$C$33*C23^2/2),(7*Dados!$C$33*Dados!$C$5*C23/16-Dados!$C$33*C23^2/2),(-Dados!$C$33*Dados!$C$5*C23/16))</f>
        <v/>
      </c>
      <c r="H23" s="63">
        <f>E23+Dados!$C$34*F23</f>
        <v/>
      </c>
      <c r="I23" s="63">
        <f>E23+Dados!$C$34*G23</f>
        <v/>
      </c>
      <c r="J23" s="63">
        <f>E23+F23</f>
        <v/>
      </c>
      <c r="K23" s="63">
        <f>E23+G23</f>
        <v/>
      </c>
      <c r="L23" s="63">
        <f>IF(B23&lt;=Dados!$C$5,1,-1)*(3*Dados!$C$32*Dados!$C$5/8-Dados!$C$32*C23)</f>
        <v/>
      </c>
      <c r="M23" s="63">
        <f>IF(B23&lt;=Dados!$C$5,MAX(0,(3*Dados!$C$33*Dados!$C$5/8-Dados!$C$33*C23),(7*Dados!$C$33*Dados!$C$5/16-Dados!$C$33*C23),(-Dados!$C$33*Dados!$C$5/16)),-MIN(0,(3*Dados!$C$33*Dados!$C$5/8-Dados!$C$33*C23),(7*Dados!$C$33*Dados!$C$5/16-Dados!$C$33*C23),(-Dados!$C$33*Dados!$C$5/16)))</f>
        <v/>
      </c>
      <c r="N23" s="63">
        <f>IF(B23&lt;=Dados!$C$5,MIN(0,(3*Dados!$C$33*Dados!$C$5/8-Dados!$C$33*C23),(7*Dados!$C$33*Dados!$C$5/16-Dados!$C$33*C23),(-Dados!$C$33*Dados!$C$5/16)),-MAX(0,(3*Dados!$C$33*Dados!$C$5/8-Dados!$C$33*C23),(7*Dados!$C$33*Dados!$C$5/16-Dados!$C$33*C23),(-Dados!$C$33*Dados!$C$5/16)))</f>
        <v/>
      </c>
    </row>
    <row r="24" ht="15" customHeight="1" s="47">
      <c r="A24" s="62" t="n">
        <v>16</v>
      </c>
      <c r="B24" s="63">
        <f>A24*0.5</f>
        <v/>
      </c>
      <c r="C24" s="63">
        <f>IF(B24&lt;=Dados!$C$5,B24,2*Dados!$C$5-B24)</f>
        <v/>
      </c>
      <c r="D24" s="63">
        <f>(3*Dados!$C$30*Dados!$C$5*C24/8-Dados!$C$30*C24^2/2)</f>
        <v/>
      </c>
      <c r="E24" s="63">
        <f>(3*Dados!$C$32*Dados!$C$5*C24/8-Dados!$C$32*C24^2/2)</f>
        <v/>
      </c>
      <c r="F24" s="63">
        <f>MAX(0,(3*Dados!$C$33*Dados!$C$5*C24/8-Dados!$C$33*C24^2/2),(7*Dados!$C$33*Dados!$C$5*C24/16-Dados!$C$33*C24^2/2),(-Dados!$C$33*Dados!$C$5*C24/16))</f>
        <v/>
      </c>
      <c r="G24" s="63">
        <f>MIN(0,(3*Dados!$C$33*Dados!$C$5*C24/8-Dados!$C$33*C24^2/2),(7*Dados!$C$33*Dados!$C$5*C24/16-Dados!$C$33*C24^2/2),(-Dados!$C$33*Dados!$C$5*C24/16))</f>
        <v/>
      </c>
      <c r="H24" s="63">
        <f>E24+Dados!$C$34*F24</f>
        <v/>
      </c>
      <c r="I24" s="63">
        <f>E24+Dados!$C$34*G24</f>
        <v/>
      </c>
      <c r="J24" s="63">
        <f>E24+F24</f>
        <v/>
      </c>
      <c r="K24" s="63">
        <f>E24+G24</f>
        <v/>
      </c>
      <c r="L24" s="63">
        <f>IF(B24&lt;=Dados!$C$5,1,-1)*(3*Dados!$C$32*Dados!$C$5/8-Dados!$C$32*C24)</f>
        <v/>
      </c>
      <c r="M24" s="63">
        <f>IF(B24&lt;=Dados!$C$5,MAX(0,(3*Dados!$C$33*Dados!$C$5/8-Dados!$C$33*C24),(7*Dados!$C$33*Dados!$C$5/16-Dados!$C$33*C24),(-Dados!$C$33*Dados!$C$5/16)),-MIN(0,(3*Dados!$C$33*Dados!$C$5/8-Dados!$C$33*C24),(7*Dados!$C$33*Dados!$C$5/16-Dados!$C$33*C24),(-Dados!$C$33*Dados!$C$5/16)))</f>
        <v/>
      </c>
      <c r="N24" s="63">
        <f>IF(B24&lt;=Dados!$C$5,MIN(0,(3*Dados!$C$33*Dados!$C$5/8-Dados!$C$33*C24),(7*Dados!$C$33*Dados!$C$5/16-Dados!$C$33*C24),(-Dados!$C$33*Dados!$C$5/16)),-MAX(0,(3*Dados!$C$33*Dados!$C$5/8-Dados!$C$33*C24),(7*Dados!$C$33*Dados!$C$5/16-Dados!$C$33*C24),(-Dados!$C$33*Dados!$C$5/16)))</f>
        <v/>
      </c>
    </row>
    <row r="25" ht="15" customHeight="1" s="47">
      <c r="A25" s="62" t="n">
        <v>17</v>
      </c>
      <c r="B25" s="63">
        <f>A25*0.5</f>
        <v/>
      </c>
      <c r="C25" s="63">
        <f>IF(B25&lt;=Dados!$C$5,B25,2*Dados!$C$5-B25)</f>
        <v/>
      </c>
      <c r="D25" s="63">
        <f>(3*Dados!$C$30*Dados!$C$5*C25/8-Dados!$C$30*C25^2/2)</f>
        <v/>
      </c>
      <c r="E25" s="63">
        <f>(3*Dados!$C$32*Dados!$C$5*C25/8-Dados!$C$32*C25^2/2)</f>
        <v/>
      </c>
      <c r="F25" s="63">
        <f>MAX(0,(3*Dados!$C$33*Dados!$C$5*C25/8-Dados!$C$33*C25^2/2),(7*Dados!$C$33*Dados!$C$5*C25/16-Dados!$C$33*C25^2/2),(-Dados!$C$33*Dados!$C$5*C25/16))</f>
        <v/>
      </c>
      <c r="G25" s="63">
        <f>MIN(0,(3*Dados!$C$33*Dados!$C$5*C25/8-Dados!$C$33*C25^2/2),(7*Dados!$C$33*Dados!$C$5*C25/16-Dados!$C$33*C25^2/2),(-Dados!$C$33*Dados!$C$5*C25/16))</f>
        <v/>
      </c>
      <c r="H25" s="63">
        <f>E25+Dados!$C$34*F25</f>
        <v/>
      </c>
      <c r="I25" s="63">
        <f>E25+Dados!$C$34*G25</f>
        <v/>
      </c>
      <c r="J25" s="63">
        <f>E25+F25</f>
        <v/>
      </c>
      <c r="K25" s="63">
        <f>E25+G25</f>
        <v/>
      </c>
      <c r="L25" s="63">
        <f>IF(B25&lt;=Dados!$C$5,1,-1)*(3*Dados!$C$32*Dados!$C$5/8-Dados!$C$32*C25)</f>
        <v/>
      </c>
      <c r="M25" s="63">
        <f>IF(B25&lt;=Dados!$C$5,MAX(0,(3*Dados!$C$33*Dados!$C$5/8-Dados!$C$33*C25),(7*Dados!$C$33*Dados!$C$5/16-Dados!$C$33*C25),(-Dados!$C$33*Dados!$C$5/16)),-MIN(0,(3*Dados!$C$33*Dados!$C$5/8-Dados!$C$33*C25),(7*Dados!$C$33*Dados!$C$5/16-Dados!$C$33*C25),(-Dados!$C$33*Dados!$C$5/16)))</f>
        <v/>
      </c>
      <c r="N25" s="63">
        <f>IF(B25&lt;=Dados!$C$5,MIN(0,(3*Dados!$C$33*Dados!$C$5/8-Dados!$C$33*C25),(7*Dados!$C$33*Dados!$C$5/16-Dados!$C$33*C25),(-Dados!$C$33*Dados!$C$5/16)),-MAX(0,(3*Dados!$C$33*Dados!$C$5/8-Dados!$C$33*C25),(7*Dados!$C$33*Dados!$C$5/16-Dados!$C$33*C25),(-Dados!$C$33*Dados!$C$5/16)))</f>
        <v/>
      </c>
    </row>
    <row r="26" ht="15" customHeight="1" s="47">
      <c r="A26" s="62" t="n">
        <v>18</v>
      </c>
      <c r="B26" s="63">
        <f>A26*0.5</f>
        <v/>
      </c>
      <c r="C26" s="63">
        <f>IF(B26&lt;=Dados!$C$5,B26,2*Dados!$C$5-B26)</f>
        <v/>
      </c>
      <c r="D26" s="63">
        <f>(3*Dados!$C$30*Dados!$C$5*C26/8-Dados!$C$30*C26^2/2)</f>
        <v/>
      </c>
      <c r="E26" s="63">
        <f>(3*Dados!$C$32*Dados!$C$5*C26/8-Dados!$C$32*C26^2/2)</f>
        <v/>
      </c>
      <c r="F26" s="63">
        <f>MAX(0,(3*Dados!$C$33*Dados!$C$5*C26/8-Dados!$C$33*C26^2/2),(7*Dados!$C$33*Dados!$C$5*C26/16-Dados!$C$33*C26^2/2),(-Dados!$C$33*Dados!$C$5*C26/16))</f>
        <v/>
      </c>
      <c r="G26" s="63">
        <f>MIN(0,(3*Dados!$C$33*Dados!$C$5*C26/8-Dados!$C$33*C26^2/2),(7*Dados!$C$33*Dados!$C$5*C26/16-Dados!$C$33*C26^2/2),(-Dados!$C$33*Dados!$C$5*C26/16))</f>
        <v/>
      </c>
      <c r="H26" s="63">
        <f>E26+Dados!$C$34*F26</f>
        <v/>
      </c>
      <c r="I26" s="63">
        <f>E26+Dados!$C$34*G26</f>
        <v/>
      </c>
      <c r="J26" s="63">
        <f>E26+F26</f>
        <v/>
      </c>
      <c r="K26" s="63">
        <f>E26+G26</f>
        <v/>
      </c>
      <c r="L26" s="63">
        <f>IF(B26&lt;=Dados!$C$5,1,-1)*(3*Dados!$C$32*Dados!$C$5/8-Dados!$C$32*C26)</f>
        <v/>
      </c>
      <c r="M26" s="63">
        <f>IF(B26&lt;=Dados!$C$5,MAX(0,(3*Dados!$C$33*Dados!$C$5/8-Dados!$C$33*C26),(7*Dados!$C$33*Dados!$C$5/16-Dados!$C$33*C26),(-Dados!$C$33*Dados!$C$5/16)),-MIN(0,(3*Dados!$C$33*Dados!$C$5/8-Dados!$C$33*C26),(7*Dados!$C$33*Dados!$C$5/16-Dados!$C$33*C26),(-Dados!$C$33*Dados!$C$5/16)))</f>
        <v/>
      </c>
      <c r="N26" s="63">
        <f>IF(B26&lt;=Dados!$C$5,MIN(0,(3*Dados!$C$33*Dados!$C$5/8-Dados!$C$33*C26),(7*Dados!$C$33*Dados!$C$5/16-Dados!$C$33*C26),(-Dados!$C$33*Dados!$C$5/16)),-MAX(0,(3*Dados!$C$33*Dados!$C$5/8-Dados!$C$33*C26),(7*Dados!$C$33*Dados!$C$5/16-Dados!$C$33*C26),(-Dados!$C$33*Dados!$C$5/16)))</f>
        <v/>
      </c>
    </row>
    <row r="27" ht="15" customHeight="1" s="47">
      <c r="A27" s="62" t="n">
        <v>19</v>
      </c>
      <c r="B27" s="63">
        <f>A27*0.5</f>
        <v/>
      </c>
      <c r="C27" s="63">
        <f>IF(B27&lt;=Dados!$C$5,B27,2*Dados!$C$5-B27)</f>
        <v/>
      </c>
      <c r="D27" s="63">
        <f>(3*Dados!$C$30*Dados!$C$5*C27/8-Dados!$C$30*C27^2/2)</f>
        <v/>
      </c>
      <c r="E27" s="63">
        <f>(3*Dados!$C$32*Dados!$C$5*C27/8-Dados!$C$32*C27^2/2)</f>
        <v/>
      </c>
      <c r="F27" s="63">
        <f>MAX(0,(3*Dados!$C$33*Dados!$C$5*C27/8-Dados!$C$33*C27^2/2),(7*Dados!$C$33*Dados!$C$5*C27/16-Dados!$C$33*C27^2/2),(-Dados!$C$33*Dados!$C$5*C27/16))</f>
        <v/>
      </c>
      <c r="G27" s="63">
        <f>MIN(0,(3*Dados!$C$33*Dados!$C$5*C27/8-Dados!$C$33*C27^2/2),(7*Dados!$C$33*Dados!$C$5*C27/16-Dados!$C$33*C27^2/2),(-Dados!$C$33*Dados!$C$5*C27/16))</f>
        <v/>
      </c>
      <c r="H27" s="63">
        <f>E27+Dados!$C$34*F27</f>
        <v/>
      </c>
      <c r="I27" s="63">
        <f>E27+Dados!$C$34*G27</f>
        <v/>
      </c>
      <c r="J27" s="63">
        <f>E27+F27</f>
        <v/>
      </c>
      <c r="K27" s="63">
        <f>E27+G27</f>
        <v/>
      </c>
      <c r="L27" s="63">
        <f>IF(B27&lt;=Dados!$C$5,1,-1)*(3*Dados!$C$32*Dados!$C$5/8-Dados!$C$32*C27)</f>
        <v/>
      </c>
      <c r="M27" s="63">
        <f>IF(B27&lt;=Dados!$C$5,MAX(0,(3*Dados!$C$33*Dados!$C$5/8-Dados!$C$33*C27),(7*Dados!$C$33*Dados!$C$5/16-Dados!$C$33*C27),(-Dados!$C$33*Dados!$C$5/16)),-MIN(0,(3*Dados!$C$33*Dados!$C$5/8-Dados!$C$33*C27),(7*Dados!$C$33*Dados!$C$5/16-Dados!$C$33*C27),(-Dados!$C$33*Dados!$C$5/16)))</f>
        <v/>
      </c>
      <c r="N27" s="63">
        <f>IF(B27&lt;=Dados!$C$5,MIN(0,(3*Dados!$C$33*Dados!$C$5/8-Dados!$C$33*C27),(7*Dados!$C$33*Dados!$C$5/16-Dados!$C$33*C27),(-Dados!$C$33*Dados!$C$5/16)),-MAX(0,(3*Dados!$C$33*Dados!$C$5/8-Dados!$C$33*C27),(7*Dados!$C$33*Dados!$C$5/16-Dados!$C$33*C27),(-Dados!$C$33*Dados!$C$5/16)))</f>
        <v/>
      </c>
    </row>
    <row r="28" ht="15" customHeight="1" s="47">
      <c r="A28" s="62" t="n">
        <v>20</v>
      </c>
      <c r="B28" s="63">
        <f>A28*0.5</f>
        <v/>
      </c>
      <c r="C28" s="63">
        <f>IF(B28&lt;=Dados!$C$5,B28,2*Dados!$C$5-B28)</f>
        <v/>
      </c>
      <c r="D28" s="63">
        <f>(3*Dados!$C$30*Dados!$C$5*C28/8-Dados!$C$30*C28^2/2)</f>
        <v/>
      </c>
      <c r="E28" s="63">
        <f>(3*Dados!$C$32*Dados!$C$5*C28/8-Dados!$C$32*C28^2/2)</f>
        <v/>
      </c>
      <c r="F28" s="63">
        <f>MAX(0,(3*Dados!$C$33*Dados!$C$5*C28/8-Dados!$C$33*C28^2/2),(7*Dados!$C$33*Dados!$C$5*C28/16-Dados!$C$33*C28^2/2),(-Dados!$C$33*Dados!$C$5*C28/16))</f>
        <v/>
      </c>
      <c r="G28" s="63">
        <f>MIN(0,(3*Dados!$C$33*Dados!$C$5*C28/8-Dados!$C$33*C28^2/2),(7*Dados!$C$33*Dados!$C$5*C28/16-Dados!$C$33*C28^2/2),(-Dados!$C$33*Dados!$C$5*C28/16))</f>
        <v/>
      </c>
      <c r="H28" s="63">
        <f>E28+Dados!$C$34*F28</f>
        <v/>
      </c>
      <c r="I28" s="63">
        <f>E28+Dados!$C$34*G28</f>
        <v/>
      </c>
      <c r="J28" s="63">
        <f>E28+F28</f>
        <v/>
      </c>
      <c r="K28" s="63">
        <f>E28+G28</f>
        <v/>
      </c>
      <c r="L28" s="63">
        <f>IF(B28&lt;=Dados!$C$5,1,-1)*(3*Dados!$C$32*Dados!$C$5/8-Dados!$C$32*C28)</f>
        <v/>
      </c>
      <c r="M28" s="63">
        <f>IF(B28&lt;=Dados!$C$5,MAX(0,(3*Dados!$C$33*Dados!$C$5/8-Dados!$C$33*C28),(7*Dados!$C$33*Dados!$C$5/16-Dados!$C$33*C28),(-Dados!$C$33*Dados!$C$5/16)),-MIN(0,(3*Dados!$C$33*Dados!$C$5/8-Dados!$C$33*C28),(7*Dados!$C$33*Dados!$C$5/16-Dados!$C$33*C28),(-Dados!$C$33*Dados!$C$5/16)))</f>
        <v/>
      </c>
      <c r="N28" s="63">
        <f>IF(B28&lt;=Dados!$C$5,MIN(0,(3*Dados!$C$33*Dados!$C$5/8-Dados!$C$33*C28),(7*Dados!$C$33*Dados!$C$5/16-Dados!$C$33*C28),(-Dados!$C$33*Dados!$C$5/16)),-MAX(0,(3*Dados!$C$33*Dados!$C$5/8-Dados!$C$33*C28),(7*Dados!$C$33*Dados!$C$5/16-Dados!$C$33*C28),(-Dados!$C$33*Dados!$C$5/16)))</f>
        <v/>
      </c>
    </row>
    <row r="29" ht="15" customHeight="1" s="47">
      <c r="A29" s="62" t="n">
        <v>21</v>
      </c>
      <c r="B29" s="63">
        <f>A29*0.5</f>
        <v/>
      </c>
      <c r="C29" s="63">
        <f>IF(B29&lt;=Dados!$C$5,B29,2*Dados!$C$5-B29)</f>
        <v/>
      </c>
      <c r="D29" s="63">
        <f>(3*Dados!$C$30*Dados!$C$5*C29/8-Dados!$C$30*C29^2/2)</f>
        <v/>
      </c>
      <c r="E29" s="63">
        <f>(3*Dados!$C$32*Dados!$C$5*C29/8-Dados!$C$32*C29^2/2)</f>
        <v/>
      </c>
      <c r="F29" s="63">
        <f>MAX(0,(3*Dados!$C$33*Dados!$C$5*C29/8-Dados!$C$33*C29^2/2),(7*Dados!$C$33*Dados!$C$5*C29/16-Dados!$C$33*C29^2/2),(-Dados!$C$33*Dados!$C$5*C29/16))</f>
        <v/>
      </c>
      <c r="G29" s="63">
        <f>MIN(0,(3*Dados!$C$33*Dados!$C$5*C29/8-Dados!$C$33*C29^2/2),(7*Dados!$C$33*Dados!$C$5*C29/16-Dados!$C$33*C29^2/2),(-Dados!$C$33*Dados!$C$5*C29/16))</f>
        <v/>
      </c>
      <c r="H29" s="63">
        <f>E29+Dados!$C$34*F29</f>
        <v/>
      </c>
      <c r="I29" s="63">
        <f>E29+Dados!$C$34*G29</f>
        <v/>
      </c>
      <c r="J29" s="63">
        <f>E29+F29</f>
        <v/>
      </c>
      <c r="K29" s="63">
        <f>E29+G29</f>
        <v/>
      </c>
      <c r="L29" s="63">
        <f>IF(B29&lt;=Dados!$C$5,1,-1)*(3*Dados!$C$32*Dados!$C$5/8-Dados!$C$32*C29)</f>
        <v/>
      </c>
      <c r="M29" s="63">
        <f>IF(B29&lt;=Dados!$C$5,MAX(0,(3*Dados!$C$33*Dados!$C$5/8-Dados!$C$33*C29),(7*Dados!$C$33*Dados!$C$5/16-Dados!$C$33*C29),(-Dados!$C$33*Dados!$C$5/16)),-MIN(0,(3*Dados!$C$33*Dados!$C$5/8-Dados!$C$33*C29),(7*Dados!$C$33*Dados!$C$5/16-Dados!$C$33*C29),(-Dados!$C$33*Dados!$C$5/16)))</f>
        <v/>
      </c>
      <c r="N29" s="63">
        <f>IF(B29&lt;=Dados!$C$5,MIN(0,(3*Dados!$C$33*Dados!$C$5/8-Dados!$C$33*C29),(7*Dados!$C$33*Dados!$C$5/16-Dados!$C$33*C29),(-Dados!$C$33*Dados!$C$5/16)),-MAX(0,(3*Dados!$C$33*Dados!$C$5/8-Dados!$C$33*C29),(7*Dados!$C$33*Dados!$C$5/16-Dados!$C$33*C29),(-Dados!$C$33*Dados!$C$5/16)))</f>
        <v/>
      </c>
    </row>
    <row r="30" ht="15" customHeight="1" s="47">
      <c r="A30" s="62" t="n">
        <v>22</v>
      </c>
      <c r="B30" s="63">
        <f>A30*0.5</f>
        <v/>
      </c>
      <c r="C30" s="63">
        <f>IF(B30&lt;=Dados!$C$5,B30,2*Dados!$C$5-B30)</f>
        <v/>
      </c>
      <c r="D30" s="63">
        <f>(3*Dados!$C$30*Dados!$C$5*C30/8-Dados!$C$30*C30^2/2)</f>
        <v/>
      </c>
      <c r="E30" s="63">
        <f>(3*Dados!$C$32*Dados!$C$5*C30/8-Dados!$C$32*C30^2/2)</f>
        <v/>
      </c>
      <c r="F30" s="63">
        <f>MAX(0,(3*Dados!$C$33*Dados!$C$5*C30/8-Dados!$C$33*C30^2/2),(7*Dados!$C$33*Dados!$C$5*C30/16-Dados!$C$33*C30^2/2),(-Dados!$C$33*Dados!$C$5*C30/16))</f>
        <v/>
      </c>
      <c r="G30" s="63">
        <f>MIN(0,(3*Dados!$C$33*Dados!$C$5*C30/8-Dados!$C$33*C30^2/2),(7*Dados!$C$33*Dados!$C$5*C30/16-Dados!$C$33*C30^2/2),(-Dados!$C$33*Dados!$C$5*C30/16))</f>
        <v/>
      </c>
      <c r="H30" s="63">
        <f>E30+Dados!$C$34*F30</f>
        <v/>
      </c>
      <c r="I30" s="63">
        <f>E30+Dados!$C$34*G30</f>
        <v/>
      </c>
      <c r="J30" s="63">
        <f>E30+F30</f>
        <v/>
      </c>
      <c r="K30" s="63">
        <f>E30+G30</f>
        <v/>
      </c>
      <c r="L30" s="63">
        <f>IF(B30&lt;=Dados!$C$5,1,-1)*(3*Dados!$C$32*Dados!$C$5/8-Dados!$C$32*C30)</f>
        <v/>
      </c>
      <c r="M30" s="63">
        <f>IF(B30&lt;=Dados!$C$5,MAX(0,(3*Dados!$C$33*Dados!$C$5/8-Dados!$C$33*C30),(7*Dados!$C$33*Dados!$C$5/16-Dados!$C$33*C30),(-Dados!$C$33*Dados!$C$5/16)),-MIN(0,(3*Dados!$C$33*Dados!$C$5/8-Dados!$C$33*C30),(7*Dados!$C$33*Dados!$C$5/16-Dados!$C$33*C30),(-Dados!$C$33*Dados!$C$5/16)))</f>
        <v/>
      </c>
      <c r="N30" s="63">
        <f>IF(B30&lt;=Dados!$C$5,MIN(0,(3*Dados!$C$33*Dados!$C$5/8-Dados!$C$33*C30),(7*Dados!$C$33*Dados!$C$5/16-Dados!$C$33*C30),(-Dados!$C$33*Dados!$C$5/16)),-MAX(0,(3*Dados!$C$33*Dados!$C$5/8-Dados!$C$33*C30),(7*Dados!$C$33*Dados!$C$5/16-Dados!$C$33*C30),(-Dados!$C$33*Dados!$C$5/16)))</f>
        <v/>
      </c>
    </row>
    <row r="31" ht="15" customHeight="1" s="47">
      <c r="A31" s="62" t="n">
        <v>23</v>
      </c>
      <c r="B31" s="63">
        <f>A31*0.5</f>
        <v/>
      </c>
      <c r="C31" s="63">
        <f>IF(B31&lt;=Dados!$C$5,B31,2*Dados!$C$5-B31)</f>
        <v/>
      </c>
      <c r="D31" s="63">
        <f>(3*Dados!$C$30*Dados!$C$5*C31/8-Dados!$C$30*C31^2/2)</f>
        <v/>
      </c>
      <c r="E31" s="63">
        <f>(3*Dados!$C$32*Dados!$C$5*C31/8-Dados!$C$32*C31^2/2)</f>
        <v/>
      </c>
      <c r="F31" s="63">
        <f>MAX(0,(3*Dados!$C$33*Dados!$C$5*C31/8-Dados!$C$33*C31^2/2),(7*Dados!$C$33*Dados!$C$5*C31/16-Dados!$C$33*C31^2/2),(-Dados!$C$33*Dados!$C$5*C31/16))</f>
        <v/>
      </c>
      <c r="G31" s="63">
        <f>MIN(0,(3*Dados!$C$33*Dados!$C$5*C31/8-Dados!$C$33*C31^2/2),(7*Dados!$C$33*Dados!$C$5*C31/16-Dados!$C$33*C31^2/2),(-Dados!$C$33*Dados!$C$5*C31/16))</f>
        <v/>
      </c>
      <c r="H31" s="63">
        <f>E31+Dados!$C$34*F31</f>
        <v/>
      </c>
      <c r="I31" s="63">
        <f>E31+Dados!$C$34*G31</f>
        <v/>
      </c>
      <c r="J31" s="63">
        <f>E31+F31</f>
        <v/>
      </c>
      <c r="K31" s="63">
        <f>E31+G31</f>
        <v/>
      </c>
      <c r="L31" s="63">
        <f>IF(B31&lt;=Dados!$C$5,1,-1)*(3*Dados!$C$32*Dados!$C$5/8-Dados!$C$32*C31)</f>
        <v/>
      </c>
      <c r="M31" s="63">
        <f>IF(B31&lt;=Dados!$C$5,MAX(0,(3*Dados!$C$33*Dados!$C$5/8-Dados!$C$33*C31),(7*Dados!$C$33*Dados!$C$5/16-Dados!$C$33*C31),(-Dados!$C$33*Dados!$C$5/16)),-MIN(0,(3*Dados!$C$33*Dados!$C$5/8-Dados!$C$33*C31),(7*Dados!$C$33*Dados!$C$5/16-Dados!$C$33*C31),(-Dados!$C$33*Dados!$C$5/16)))</f>
        <v/>
      </c>
      <c r="N31" s="63">
        <f>IF(B31&lt;=Dados!$C$5,MIN(0,(3*Dados!$C$33*Dados!$C$5/8-Dados!$C$33*C31),(7*Dados!$C$33*Dados!$C$5/16-Dados!$C$33*C31),(-Dados!$C$33*Dados!$C$5/16)),-MAX(0,(3*Dados!$C$33*Dados!$C$5/8-Dados!$C$33*C31),(7*Dados!$C$33*Dados!$C$5/16-Dados!$C$33*C31),(-Dados!$C$33*Dados!$C$5/16)))</f>
        <v/>
      </c>
    </row>
    <row r="32" ht="15" customHeight="1" s="47">
      <c r="A32" s="62" t="n">
        <v>24</v>
      </c>
      <c r="B32" s="63">
        <f>A32*0.5</f>
        <v/>
      </c>
      <c r="C32" s="63">
        <f>IF(B32&lt;=Dados!$C$5,B32,2*Dados!$C$5-B32)</f>
        <v/>
      </c>
      <c r="D32" s="63">
        <f>(3*Dados!$C$30*Dados!$C$5*C32/8-Dados!$C$30*C32^2/2)</f>
        <v/>
      </c>
      <c r="E32" s="63">
        <f>(3*Dados!$C$32*Dados!$C$5*C32/8-Dados!$C$32*C32^2/2)</f>
        <v/>
      </c>
      <c r="F32" s="63">
        <f>MAX(0,(3*Dados!$C$33*Dados!$C$5*C32/8-Dados!$C$33*C32^2/2),(7*Dados!$C$33*Dados!$C$5*C32/16-Dados!$C$33*C32^2/2),(-Dados!$C$33*Dados!$C$5*C32/16))</f>
        <v/>
      </c>
      <c r="G32" s="63">
        <f>MIN(0,(3*Dados!$C$33*Dados!$C$5*C32/8-Dados!$C$33*C32^2/2),(7*Dados!$C$33*Dados!$C$5*C32/16-Dados!$C$33*C32^2/2),(-Dados!$C$33*Dados!$C$5*C32/16))</f>
        <v/>
      </c>
      <c r="H32" s="63">
        <f>E32+Dados!$C$34*F32</f>
        <v/>
      </c>
      <c r="I32" s="63">
        <f>E32+Dados!$C$34*G32</f>
        <v/>
      </c>
      <c r="J32" s="63">
        <f>E32+F32</f>
        <v/>
      </c>
      <c r="K32" s="63">
        <f>E32+G32</f>
        <v/>
      </c>
      <c r="L32" s="63">
        <f>IF(B32&lt;=Dados!$C$5,1,-1)*(3*Dados!$C$32*Dados!$C$5/8-Dados!$C$32*C32)</f>
        <v/>
      </c>
      <c r="M32" s="63">
        <f>IF(B32&lt;=Dados!$C$5,MAX(0,(3*Dados!$C$33*Dados!$C$5/8-Dados!$C$33*C32),(7*Dados!$C$33*Dados!$C$5/16-Dados!$C$33*C32),(-Dados!$C$33*Dados!$C$5/16)),-MIN(0,(3*Dados!$C$33*Dados!$C$5/8-Dados!$C$33*C32),(7*Dados!$C$33*Dados!$C$5/16-Dados!$C$33*C32),(-Dados!$C$33*Dados!$C$5/16)))</f>
        <v/>
      </c>
      <c r="N32" s="63">
        <f>IF(B32&lt;=Dados!$C$5,MIN(0,(3*Dados!$C$33*Dados!$C$5/8-Dados!$C$33*C32),(7*Dados!$C$33*Dados!$C$5/16-Dados!$C$33*C32),(-Dados!$C$33*Dados!$C$5/16)),-MAX(0,(3*Dados!$C$33*Dados!$C$5/8-Dados!$C$33*C32),(7*Dados!$C$33*Dados!$C$5/16-Dados!$C$33*C32),(-Dados!$C$33*Dados!$C$5/16)))</f>
        <v/>
      </c>
    </row>
    <row r="33" ht="15" customHeight="1" s="47">
      <c r="A33" s="62" t="n">
        <v>25</v>
      </c>
      <c r="B33" s="63">
        <f>A33*0.5</f>
        <v/>
      </c>
      <c r="C33" s="63">
        <f>IF(B33&lt;=Dados!$C$5,B33,2*Dados!$C$5-B33)</f>
        <v/>
      </c>
      <c r="D33" s="63">
        <f>(3*Dados!$C$30*Dados!$C$5*C33/8-Dados!$C$30*C33^2/2)</f>
        <v/>
      </c>
      <c r="E33" s="63">
        <f>(3*Dados!$C$32*Dados!$C$5*C33/8-Dados!$C$32*C33^2/2)</f>
        <v/>
      </c>
      <c r="F33" s="63">
        <f>MAX(0,(3*Dados!$C$33*Dados!$C$5*C33/8-Dados!$C$33*C33^2/2),(7*Dados!$C$33*Dados!$C$5*C33/16-Dados!$C$33*C33^2/2),(-Dados!$C$33*Dados!$C$5*C33/16))</f>
        <v/>
      </c>
      <c r="G33" s="63">
        <f>MIN(0,(3*Dados!$C$33*Dados!$C$5*C33/8-Dados!$C$33*C33^2/2),(7*Dados!$C$33*Dados!$C$5*C33/16-Dados!$C$33*C33^2/2),(-Dados!$C$33*Dados!$C$5*C33/16))</f>
        <v/>
      </c>
      <c r="H33" s="63">
        <f>E33+Dados!$C$34*F33</f>
        <v/>
      </c>
      <c r="I33" s="63">
        <f>E33+Dados!$C$34*G33</f>
        <v/>
      </c>
      <c r="J33" s="63">
        <f>E33+F33</f>
        <v/>
      </c>
      <c r="K33" s="63">
        <f>E33+G33</f>
        <v/>
      </c>
      <c r="L33" s="63">
        <f>IF(B33&lt;=Dados!$C$5,1,-1)*(3*Dados!$C$32*Dados!$C$5/8-Dados!$C$32*C33)</f>
        <v/>
      </c>
      <c r="M33" s="63">
        <f>IF(B33&lt;=Dados!$C$5,MAX(0,(3*Dados!$C$33*Dados!$C$5/8-Dados!$C$33*C33),(7*Dados!$C$33*Dados!$C$5/16-Dados!$C$33*C33),(-Dados!$C$33*Dados!$C$5/16)),-MIN(0,(3*Dados!$C$33*Dados!$C$5/8-Dados!$C$33*C33),(7*Dados!$C$33*Dados!$C$5/16-Dados!$C$33*C33),(-Dados!$C$33*Dados!$C$5/16)))</f>
        <v/>
      </c>
      <c r="N33" s="63">
        <f>IF(B33&lt;=Dados!$C$5,MIN(0,(3*Dados!$C$33*Dados!$C$5/8-Dados!$C$33*C33),(7*Dados!$C$33*Dados!$C$5/16-Dados!$C$33*C33),(-Dados!$C$33*Dados!$C$5/16)),-MAX(0,(3*Dados!$C$33*Dados!$C$5/8-Dados!$C$33*C33),(7*Dados!$C$33*Dados!$C$5/16-Dados!$C$33*C33),(-Dados!$C$33*Dados!$C$5/16)))</f>
        <v/>
      </c>
    </row>
    <row r="34" ht="15" customHeight="1" s="47">
      <c r="A34" s="62" t="n">
        <v>26</v>
      </c>
      <c r="B34" s="63">
        <f>A34*0.5</f>
        <v/>
      </c>
      <c r="C34" s="63">
        <f>IF(B34&lt;=Dados!$C$5,B34,2*Dados!$C$5-B34)</f>
        <v/>
      </c>
      <c r="D34" s="63">
        <f>(3*Dados!$C$30*Dados!$C$5*C34/8-Dados!$C$30*C34^2/2)</f>
        <v/>
      </c>
      <c r="E34" s="63">
        <f>(3*Dados!$C$32*Dados!$C$5*C34/8-Dados!$C$32*C34^2/2)</f>
        <v/>
      </c>
      <c r="F34" s="63">
        <f>MAX(0,(3*Dados!$C$33*Dados!$C$5*C34/8-Dados!$C$33*C34^2/2),(7*Dados!$C$33*Dados!$C$5*C34/16-Dados!$C$33*C34^2/2),(-Dados!$C$33*Dados!$C$5*C34/16))</f>
        <v/>
      </c>
      <c r="G34" s="63">
        <f>MIN(0,(3*Dados!$C$33*Dados!$C$5*C34/8-Dados!$C$33*C34^2/2),(7*Dados!$C$33*Dados!$C$5*C34/16-Dados!$C$33*C34^2/2),(-Dados!$C$33*Dados!$C$5*C34/16))</f>
        <v/>
      </c>
      <c r="H34" s="63">
        <f>E34+Dados!$C$34*F34</f>
        <v/>
      </c>
      <c r="I34" s="63">
        <f>E34+Dados!$C$34*G34</f>
        <v/>
      </c>
      <c r="J34" s="63">
        <f>E34+F34</f>
        <v/>
      </c>
      <c r="K34" s="63">
        <f>E34+G34</f>
        <v/>
      </c>
      <c r="L34" s="63">
        <f>IF(B34&lt;=Dados!$C$5,1,-1)*(3*Dados!$C$32*Dados!$C$5/8-Dados!$C$32*C34)</f>
        <v/>
      </c>
      <c r="M34" s="63">
        <f>IF(B34&lt;=Dados!$C$5,MAX(0,(3*Dados!$C$33*Dados!$C$5/8-Dados!$C$33*C34),(7*Dados!$C$33*Dados!$C$5/16-Dados!$C$33*C34),(-Dados!$C$33*Dados!$C$5/16)),-MIN(0,(3*Dados!$C$33*Dados!$C$5/8-Dados!$C$33*C34),(7*Dados!$C$33*Dados!$C$5/16-Dados!$C$33*C34),(-Dados!$C$33*Dados!$C$5/16)))</f>
        <v/>
      </c>
      <c r="N34" s="63">
        <f>IF(B34&lt;=Dados!$C$5,MIN(0,(3*Dados!$C$33*Dados!$C$5/8-Dados!$C$33*C34),(7*Dados!$C$33*Dados!$C$5/16-Dados!$C$33*C34),(-Dados!$C$33*Dados!$C$5/16)),-MAX(0,(3*Dados!$C$33*Dados!$C$5/8-Dados!$C$33*C34),(7*Dados!$C$33*Dados!$C$5/16-Dados!$C$33*C34),(-Dados!$C$33*Dados!$C$5/16)))</f>
        <v/>
      </c>
    </row>
    <row r="35" ht="15" customHeight="1" s="47">
      <c r="A35" s="62" t="n">
        <v>27</v>
      </c>
      <c r="B35" s="63">
        <f>A35*0.5</f>
        <v/>
      </c>
      <c r="C35" s="63">
        <f>IF(B35&lt;=Dados!$C$5,B35,2*Dados!$C$5-B35)</f>
        <v/>
      </c>
      <c r="D35" s="63">
        <f>(3*Dados!$C$30*Dados!$C$5*C35/8-Dados!$C$30*C35^2/2)</f>
        <v/>
      </c>
      <c r="E35" s="63">
        <f>(3*Dados!$C$32*Dados!$C$5*C35/8-Dados!$C$32*C35^2/2)</f>
        <v/>
      </c>
      <c r="F35" s="63">
        <f>MAX(0,(3*Dados!$C$33*Dados!$C$5*C35/8-Dados!$C$33*C35^2/2),(7*Dados!$C$33*Dados!$C$5*C35/16-Dados!$C$33*C35^2/2),(-Dados!$C$33*Dados!$C$5*C35/16))</f>
        <v/>
      </c>
      <c r="G35" s="63">
        <f>MIN(0,(3*Dados!$C$33*Dados!$C$5*C35/8-Dados!$C$33*C35^2/2),(7*Dados!$C$33*Dados!$C$5*C35/16-Dados!$C$33*C35^2/2),(-Dados!$C$33*Dados!$C$5*C35/16))</f>
        <v/>
      </c>
      <c r="H35" s="63">
        <f>E35+Dados!$C$34*F35</f>
        <v/>
      </c>
      <c r="I35" s="63">
        <f>E35+Dados!$C$34*G35</f>
        <v/>
      </c>
      <c r="J35" s="63">
        <f>E35+F35</f>
        <v/>
      </c>
      <c r="K35" s="63">
        <f>E35+G35</f>
        <v/>
      </c>
      <c r="L35" s="63">
        <f>IF(B35&lt;=Dados!$C$5,1,-1)*(3*Dados!$C$32*Dados!$C$5/8-Dados!$C$32*C35)</f>
        <v/>
      </c>
      <c r="M35" s="63">
        <f>IF(B35&lt;=Dados!$C$5,MAX(0,(3*Dados!$C$33*Dados!$C$5/8-Dados!$C$33*C35),(7*Dados!$C$33*Dados!$C$5/16-Dados!$C$33*C35),(-Dados!$C$33*Dados!$C$5/16)),-MIN(0,(3*Dados!$C$33*Dados!$C$5/8-Dados!$C$33*C35),(7*Dados!$C$33*Dados!$C$5/16-Dados!$C$33*C35),(-Dados!$C$33*Dados!$C$5/16)))</f>
        <v/>
      </c>
      <c r="N35" s="63">
        <f>IF(B35&lt;=Dados!$C$5,MIN(0,(3*Dados!$C$33*Dados!$C$5/8-Dados!$C$33*C35),(7*Dados!$C$33*Dados!$C$5/16-Dados!$C$33*C35),(-Dados!$C$33*Dados!$C$5/16)),-MAX(0,(3*Dados!$C$33*Dados!$C$5/8-Dados!$C$33*C35),(7*Dados!$C$33*Dados!$C$5/16-Dados!$C$33*C35),(-Dados!$C$33*Dados!$C$5/16)))</f>
        <v/>
      </c>
    </row>
    <row r="36" ht="15" customHeight="1" s="47">
      <c r="A36" s="62" t="n">
        <v>28</v>
      </c>
      <c r="B36" s="63">
        <f>A36*0.5</f>
        <v/>
      </c>
      <c r="C36" s="63">
        <f>IF(B36&lt;=Dados!$C$5,B36,2*Dados!$C$5-B36)</f>
        <v/>
      </c>
      <c r="D36" s="63">
        <f>(3*Dados!$C$30*Dados!$C$5*C36/8-Dados!$C$30*C36^2/2)</f>
        <v/>
      </c>
      <c r="E36" s="63">
        <f>(3*Dados!$C$32*Dados!$C$5*C36/8-Dados!$C$32*C36^2/2)</f>
        <v/>
      </c>
      <c r="F36" s="63">
        <f>MAX(0,(3*Dados!$C$33*Dados!$C$5*C36/8-Dados!$C$33*C36^2/2),(7*Dados!$C$33*Dados!$C$5*C36/16-Dados!$C$33*C36^2/2),(-Dados!$C$33*Dados!$C$5*C36/16))</f>
        <v/>
      </c>
      <c r="G36" s="63">
        <f>MIN(0,(3*Dados!$C$33*Dados!$C$5*C36/8-Dados!$C$33*C36^2/2),(7*Dados!$C$33*Dados!$C$5*C36/16-Dados!$C$33*C36^2/2),(-Dados!$C$33*Dados!$C$5*C36/16))</f>
        <v/>
      </c>
      <c r="H36" s="63">
        <f>E36+Dados!$C$34*F36</f>
        <v/>
      </c>
      <c r="I36" s="63">
        <f>E36+Dados!$C$34*G36</f>
        <v/>
      </c>
      <c r="J36" s="63">
        <f>E36+F36</f>
        <v/>
      </c>
      <c r="K36" s="63">
        <f>E36+G36</f>
        <v/>
      </c>
      <c r="L36" s="63">
        <f>IF(B36&lt;=Dados!$C$5,1,-1)*(3*Dados!$C$32*Dados!$C$5/8-Dados!$C$32*C36)</f>
        <v/>
      </c>
      <c r="M36" s="63">
        <f>IF(B36&lt;=Dados!$C$5,MAX(0,(3*Dados!$C$33*Dados!$C$5/8-Dados!$C$33*C36),(7*Dados!$C$33*Dados!$C$5/16-Dados!$C$33*C36),(-Dados!$C$33*Dados!$C$5/16)),-MIN(0,(3*Dados!$C$33*Dados!$C$5/8-Dados!$C$33*C36),(7*Dados!$C$33*Dados!$C$5/16-Dados!$C$33*C36),(-Dados!$C$33*Dados!$C$5/16)))</f>
        <v/>
      </c>
      <c r="N36" s="63">
        <f>IF(B36&lt;=Dados!$C$5,MIN(0,(3*Dados!$C$33*Dados!$C$5/8-Dados!$C$33*C36),(7*Dados!$C$33*Dados!$C$5/16-Dados!$C$33*C36),(-Dados!$C$33*Dados!$C$5/16)),-MAX(0,(3*Dados!$C$33*Dados!$C$5/8-Dados!$C$33*C36),(7*Dados!$C$33*Dados!$C$5/16-Dados!$C$33*C36),(-Dados!$C$33*Dados!$C$5/16)))</f>
        <v/>
      </c>
    </row>
    <row r="37" ht="15" customHeight="1" s="47">
      <c r="A37" s="62" t="n">
        <v>29</v>
      </c>
      <c r="B37" s="63">
        <f>A37*0.5</f>
        <v/>
      </c>
      <c r="C37" s="63">
        <f>IF(B37&lt;=Dados!$C$5,B37,2*Dados!$C$5-B37)</f>
        <v/>
      </c>
      <c r="D37" s="63">
        <f>(3*Dados!$C$30*Dados!$C$5*C37/8-Dados!$C$30*C37^2/2)</f>
        <v/>
      </c>
      <c r="E37" s="63">
        <f>(3*Dados!$C$32*Dados!$C$5*C37/8-Dados!$C$32*C37^2/2)</f>
        <v/>
      </c>
      <c r="F37" s="63">
        <f>MAX(0,(3*Dados!$C$33*Dados!$C$5*C37/8-Dados!$C$33*C37^2/2),(7*Dados!$C$33*Dados!$C$5*C37/16-Dados!$C$33*C37^2/2),(-Dados!$C$33*Dados!$C$5*C37/16))</f>
        <v/>
      </c>
      <c r="G37" s="63">
        <f>MIN(0,(3*Dados!$C$33*Dados!$C$5*C37/8-Dados!$C$33*C37^2/2),(7*Dados!$C$33*Dados!$C$5*C37/16-Dados!$C$33*C37^2/2),(-Dados!$C$33*Dados!$C$5*C37/16))</f>
        <v/>
      </c>
      <c r="H37" s="63">
        <f>E37+Dados!$C$34*F37</f>
        <v/>
      </c>
      <c r="I37" s="63">
        <f>E37+Dados!$C$34*G37</f>
        <v/>
      </c>
      <c r="J37" s="63">
        <f>E37+F37</f>
        <v/>
      </c>
      <c r="K37" s="63">
        <f>E37+G37</f>
        <v/>
      </c>
      <c r="L37" s="63">
        <f>IF(B37&lt;=Dados!$C$5,1,-1)*(3*Dados!$C$32*Dados!$C$5/8-Dados!$C$32*C37)</f>
        <v/>
      </c>
      <c r="M37" s="63">
        <f>IF(B37&lt;=Dados!$C$5,MAX(0,(3*Dados!$C$33*Dados!$C$5/8-Dados!$C$33*C37),(7*Dados!$C$33*Dados!$C$5/16-Dados!$C$33*C37),(-Dados!$C$33*Dados!$C$5/16)),-MIN(0,(3*Dados!$C$33*Dados!$C$5/8-Dados!$C$33*C37),(7*Dados!$C$33*Dados!$C$5/16-Dados!$C$33*C37),(-Dados!$C$33*Dados!$C$5/16)))</f>
        <v/>
      </c>
      <c r="N37" s="63">
        <f>IF(B37&lt;=Dados!$C$5,MIN(0,(3*Dados!$C$33*Dados!$C$5/8-Dados!$C$33*C37),(7*Dados!$C$33*Dados!$C$5/16-Dados!$C$33*C37),(-Dados!$C$33*Dados!$C$5/16)),-MAX(0,(3*Dados!$C$33*Dados!$C$5/8-Dados!$C$33*C37),(7*Dados!$C$33*Dados!$C$5/16-Dados!$C$33*C37),(-Dados!$C$33*Dados!$C$5/16)))</f>
        <v/>
      </c>
    </row>
    <row r="38" ht="15" customHeight="1" s="47">
      <c r="A38" s="62" t="n">
        <v>30</v>
      </c>
      <c r="B38" s="63">
        <f>A38*0.5</f>
        <v/>
      </c>
      <c r="C38" s="63">
        <f>IF(B38&lt;=Dados!$C$5,B38,2*Dados!$C$5-B38)</f>
        <v/>
      </c>
      <c r="D38" s="63">
        <f>(3*Dados!$C$30*Dados!$C$5*C38/8-Dados!$C$30*C38^2/2)</f>
        <v/>
      </c>
      <c r="E38" s="63">
        <f>(3*Dados!$C$32*Dados!$C$5*C38/8-Dados!$C$32*C38^2/2)</f>
        <v/>
      </c>
      <c r="F38" s="63">
        <f>MAX(0,(3*Dados!$C$33*Dados!$C$5*C38/8-Dados!$C$33*C38^2/2),(7*Dados!$C$33*Dados!$C$5*C38/16-Dados!$C$33*C38^2/2),(-Dados!$C$33*Dados!$C$5*C38/16))</f>
        <v/>
      </c>
      <c r="G38" s="63">
        <f>MIN(0,(3*Dados!$C$33*Dados!$C$5*C38/8-Dados!$C$33*C38^2/2),(7*Dados!$C$33*Dados!$C$5*C38/16-Dados!$C$33*C38^2/2),(-Dados!$C$33*Dados!$C$5*C38/16))</f>
        <v/>
      </c>
      <c r="H38" s="63">
        <f>E38+Dados!$C$34*F38</f>
        <v/>
      </c>
      <c r="I38" s="63">
        <f>E38+Dados!$C$34*G38</f>
        <v/>
      </c>
      <c r="J38" s="63">
        <f>E38+F38</f>
        <v/>
      </c>
      <c r="K38" s="63">
        <f>E38+G38</f>
        <v/>
      </c>
      <c r="L38" s="63">
        <f>IF(B38&lt;=Dados!$C$5,1,-1)*(3*Dados!$C$32*Dados!$C$5/8-Dados!$C$32*C38)</f>
        <v/>
      </c>
      <c r="M38" s="63">
        <f>IF(B38&lt;=Dados!$C$5,MAX(0,(3*Dados!$C$33*Dados!$C$5/8-Dados!$C$33*C38),(7*Dados!$C$33*Dados!$C$5/16-Dados!$C$33*C38),(-Dados!$C$33*Dados!$C$5/16)),-MIN(0,(3*Dados!$C$33*Dados!$C$5/8-Dados!$C$33*C38),(7*Dados!$C$33*Dados!$C$5/16-Dados!$C$33*C38),(-Dados!$C$33*Dados!$C$5/16)))</f>
        <v/>
      </c>
      <c r="N38" s="63">
        <f>IF(B38&lt;=Dados!$C$5,MIN(0,(3*Dados!$C$33*Dados!$C$5/8-Dados!$C$33*C38),(7*Dados!$C$33*Dados!$C$5/16-Dados!$C$33*C38),(-Dados!$C$33*Dados!$C$5/16)),-MAX(0,(3*Dados!$C$33*Dados!$C$5/8-Dados!$C$33*C38),(7*Dados!$C$33*Dados!$C$5/16-Dados!$C$33*C38),(-Dados!$C$33*Dados!$C$5/16)))</f>
        <v/>
      </c>
    </row>
    <row r="39" ht="15" customHeight="1" s="47">
      <c r="A39" s="62" t="n">
        <v>31</v>
      </c>
      <c r="B39" s="63">
        <f>A39*0.5</f>
        <v/>
      </c>
      <c r="C39" s="63">
        <f>IF(B39&lt;=Dados!$C$5,B39,2*Dados!$C$5-B39)</f>
        <v/>
      </c>
      <c r="D39" s="63">
        <f>(3*Dados!$C$30*Dados!$C$5*C39/8-Dados!$C$30*C39^2/2)</f>
        <v/>
      </c>
      <c r="E39" s="63">
        <f>(3*Dados!$C$32*Dados!$C$5*C39/8-Dados!$C$32*C39^2/2)</f>
        <v/>
      </c>
      <c r="F39" s="63">
        <f>MAX(0,(3*Dados!$C$33*Dados!$C$5*C39/8-Dados!$C$33*C39^2/2),(7*Dados!$C$33*Dados!$C$5*C39/16-Dados!$C$33*C39^2/2),(-Dados!$C$33*Dados!$C$5*C39/16))</f>
        <v/>
      </c>
      <c r="G39" s="63">
        <f>MIN(0,(3*Dados!$C$33*Dados!$C$5*C39/8-Dados!$C$33*C39^2/2),(7*Dados!$C$33*Dados!$C$5*C39/16-Dados!$C$33*C39^2/2),(-Dados!$C$33*Dados!$C$5*C39/16))</f>
        <v/>
      </c>
      <c r="H39" s="63">
        <f>E39+Dados!$C$34*F39</f>
        <v/>
      </c>
      <c r="I39" s="63">
        <f>E39+Dados!$C$34*G39</f>
        <v/>
      </c>
      <c r="J39" s="63">
        <f>E39+F39</f>
        <v/>
      </c>
      <c r="K39" s="63">
        <f>E39+G39</f>
        <v/>
      </c>
      <c r="L39" s="63">
        <f>IF(B39&lt;=Dados!$C$5,1,-1)*(3*Dados!$C$32*Dados!$C$5/8-Dados!$C$32*C39)</f>
        <v/>
      </c>
      <c r="M39" s="63">
        <f>IF(B39&lt;=Dados!$C$5,MAX(0,(3*Dados!$C$33*Dados!$C$5/8-Dados!$C$33*C39),(7*Dados!$C$33*Dados!$C$5/16-Dados!$C$33*C39),(-Dados!$C$33*Dados!$C$5/16)),-MIN(0,(3*Dados!$C$33*Dados!$C$5/8-Dados!$C$33*C39),(7*Dados!$C$33*Dados!$C$5/16-Dados!$C$33*C39),(-Dados!$C$33*Dados!$C$5/16)))</f>
        <v/>
      </c>
      <c r="N39" s="63">
        <f>IF(B39&lt;=Dados!$C$5,MIN(0,(3*Dados!$C$33*Dados!$C$5/8-Dados!$C$33*C39),(7*Dados!$C$33*Dados!$C$5/16-Dados!$C$33*C39),(-Dados!$C$33*Dados!$C$5/16)),-MAX(0,(3*Dados!$C$33*Dados!$C$5/8-Dados!$C$33*C39),(7*Dados!$C$33*Dados!$C$5/16-Dados!$C$33*C39),(-Dados!$C$33*Dados!$C$5/16)))</f>
        <v/>
      </c>
    </row>
    <row r="40" ht="15" customHeight="1" s="47">
      <c r="A40" s="62" t="n">
        <v>32</v>
      </c>
      <c r="B40" s="63">
        <f>A40*0.5</f>
        <v/>
      </c>
      <c r="C40" s="63">
        <f>IF(B40&lt;=Dados!$C$5,B40,2*Dados!$C$5-B40)</f>
        <v/>
      </c>
      <c r="D40" s="63">
        <f>(3*Dados!$C$30*Dados!$C$5*C40/8-Dados!$C$30*C40^2/2)</f>
        <v/>
      </c>
      <c r="E40" s="63">
        <f>(3*Dados!$C$32*Dados!$C$5*C40/8-Dados!$C$32*C40^2/2)</f>
        <v/>
      </c>
      <c r="F40" s="63">
        <f>MAX(0,(3*Dados!$C$33*Dados!$C$5*C40/8-Dados!$C$33*C40^2/2),(7*Dados!$C$33*Dados!$C$5*C40/16-Dados!$C$33*C40^2/2),(-Dados!$C$33*Dados!$C$5*C40/16))</f>
        <v/>
      </c>
      <c r="G40" s="63">
        <f>MIN(0,(3*Dados!$C$33*Dados!$C$5*C40/8-Dados!$C$33*C40^2/2),(7*Dados!$C$33*Dados!$C$5*C40/16-Dados!$C$33*C40^2/2),(-Dados!$C$33*Dados!$C$5*C40/16))</f>
        <v/>
      </c>
      <c r="H40" s="63">
        <f>E40+Dados!$C$34*F40</f>
        <v/>
      </c>
      <c r="I40" s="63">
        <f>E40+Dados!$C$34*G40</f>
        <v/>
      </c>
      <c r="J40" s="63">
        <f>E40+F40</f>
        <v/>
      </c>
      <c r="K40" s="63">
        <f>E40+G40</f>
        <v/>
      </c>
      <c r="L40" s="63">
        <f>IF(B40&lt;=Dados!$C$5,1,-1)*(3*Dados!$C$32*Dados!$C$5/8-Dados!$C$32*C40)</f>
        <v/>
      </c>
      <c r="M40" s="63">
        <f>IF(B40&lt;=Dados!$C$5,MAX(0,(3*Dados!$C$33*Dados!$C$5/8-Dados!$C$33*C40),(7*Dados!$C$33*Dados!$C$5/16-Dados!$C$33*C40),(-Dados!$C$33*Dados!$C$5/16)),-MIN(0,(3*Dados!$C$33*Dados!$C$5/8-Dados!$C$33*C40),(7*Dados!$C$33*Dados!$C$5/16-Dados!$C$33*C40),(-Dados!$C$33*Dados!$C$5/16)))</f>
        <v/>
      </c>
      <c r="N40" s="63">
        <f>IF(B40&lt;=Dados!$C$5,MIN(0,(3*Dados!$C$33*Dados!$C$5/8-Dados!$C$33*C40),(7*Dados!$C$33*Dados!$C$5/16-Dados!$C$33*C40),(-Dados!$C$33*Dados!$C$5/16)),-MAX(0,(3*Dados!$C$33*Dados!$C$5/8-Dados!$C$33*C40),(7*Dados!$C$33*Dados!$C$5/16-Dados!$C$33*C40),(-Dados!$C$33*Dados!$C$5/16)))</f>
        <v/>
      </c>
    </row>
    <row r="41" ht="15" customHeight="1" s="47">
      <c r="A41" s="62" t="n">
        <v>33</v>
      </c>
      <c r="B41" s="63">
        <f>A41*0.5</f>
        <v/>
      </c>
      <c r="C41" s="63">
        <f>IF(B41&lt;=Dados!$C$5,B41,2*Dados!$C$5-B41)</f>
        <v/>
      </c>
      <c r="D41" s="63">
        <f>(3*Dados!$C$30*Dados!$C$5*C41/8-Dados!$C$30*C41^2/2)</f>
        <v/>
      </c>
      <c r="E41" s="63">
        <f>(3*Dados!$C$32*Dados!$C$5*C41/8-Dados!$C$32*C41^2/2)</f>
        <v/>
      </c>
      <c r="F41" s="63">
        <f>MAX(0,(3*Dados!$C$33*Dados!$C$5*C41/8-Dados!$C$33*C41^2/2),(7*Dados!$C$33*Dados!$C$5*C41/16-Dados!$C$33*C41^2/2),(-Dados!$C$33*Dados!$C$5*C41/16))</f>
        <v/>
      </c>
      <c r="G41" s="63">
        <f>MIN(0,(3*Dados!$C$33*Dados!$C$5*C41/8-Dados!$C$33*C41^2/2),(7*Dados!$C$33*Dados!$C$5*C41/16-Dados!$C$33*C41^2/2),(-Dados!$C$33*Dados!$C$5*C41/16))</f>
        <v/>
      </c>
      <c r="H41" s="63">
        <f>E41+Dados!$C$34*F41</f>
        <v/>
      </c>
      <c r="I41" s="63">
        <f>E41+Dados!$C$34*G41</f>
        <v/>
      </c>
      <c r="J41" s="63">
        <f>E41+F41</f>
        <v/>
      </c>
      <c r="K41" s="63">
        <f>E41+G41</f>
        <v/>
      </c>
      <c r="L41" s="63">
        <f>IF(B41&lt;=Dados!$C$5,1,-1)*(3*Dados!$C$32*Dados!$C$5/8-Dados!$C$32*C41)</f>
        <v/>
      </c>
      <c r="M41" s="63">
        <f>IF(B41&lt;=Dados!$C$5,MAX(0,(3*Dados!$C$33*Dados!$C$5/8-Dados!$C$33*C41),(7*Dados!$C$33*Dados!$C$5/16-Dados!$C$33*C41),(-Dados!$C$33*Dados!$C$5/16)),-MIN(0,(3*Dados!$C$33*Dados!$C$5/8-Dados!$C$33*C41),(7*Dados!$C$33*Dados!$C$5/16-Dados!$C$33*C41),(-Dados!$C$33*Dados!$C$5/16)))</f>
        <v/>
      </c>
      <c r="N41" s="63">
        <f>IF(B41&lt;=Dados!$C$5,MIN(0,(3*Dados!$C$33*Dados!$C$5/8-Dados!$C$33*C41),(7*Dados!$C$33*Dados!$C$5/16-Dados!$C$33*C41),(-Dados!$C$33*Dados!$C$5/16)),-MAX(0,(3*Dados!$C$33*Dados!$C$5/8-Dados!$C$33*C41),(7*Dados!$C$33*Dados!$C$5/16-Dados!$C$33*C41),(-Dados!$C$33*Dados!$C$5/16)))</f>
        <v/>
      </c>
    </row>
    <row r="42" ht="15" customHeight="1" s="47">
      <c r="A42" s="62" t="n">
        <v>34</v>
      </c>
      <c r="B42" s="63">
        <f>A42*0.5</f>
        <v/>
      </c>
      <c r="C42" s="63">
        <f>IF(B42&lt;=Dados!$C$5,B42,2*Dados!$C$5-B42)</f>
        <v/>
      </c>
      <c r="D42" s="63">
        <f>(3*Dados!$C$30*Dados!$C$5*C42/8-Dados!$C$30*C42^2/2)</f>
        <v/>
      </c>
      <c r="E42" s="63">
        <f>(3*Dados!$C$32*Dados!$C$5*C42/8-Dados!$C$32*C42^2/2)</f>
        <v/>
      </c>
      <c r="F42" s="63">
        <f>MAX(0,(3*Dados!$C$33*Dados!$C$5*C42/8-Dados!$C$33*C42^2/2),(7*Dados!$C$33*Dados!$C$5*C42/16-Dados!$C$33*C42^2/2),(-Dados!$C$33*Dados!$C$5*C42/16))</f>
        <v/>
      </c>
      <c r="G42" s="63">
        <f>MIN(0,(3*Dados!$C$33*Dados!$C$5*C42/8-Dados!$C$33*C42^2/2),(7*Dados!$C$33*Dados!$C$5*C42/16-Dados!$C$33*C42^2/2),(-Dados!$C$33*Dados!$C$5*C42/16))</f>
        <v/>
      </c>
      <c r="H42" s="63">
        <f>E42+Dados!$C$34*F42</f>
        <v/>
      </c>
      <c r="I42" s="63">
        <f>E42+Dados!$C$34*G42</f>
        <v/>
      </c>
      <c r="J42" s="63">
        <f>E42+F42</f>
        <v/>
      </c>
      <c r="K42" s="63">
        <f>E42+G42</f>
        <v/>
      </c>
      <c r="L42" s="63">
        <f>IF(B42&lt;=Dados!$C$5,1,-1)*(3*Dados!$C$32*Dados!$C$5/8-Dados!$C$32*C42)</f>
        <v/>
      </c>
      <c r="M42" s="63">
        <f>IF(B42&lt;=Dados!$C$5,MAX(0,(3*Dados!$C$33*Dados!$C$5/8-Dados!$C$33*C42),(7*Dados!$C$33*Dados!$C$5/16-Dados!$C$33*C42),(-Dados!$C$33*Dados!$C$5/16)),-MIN(0,(3*Dados!$C$33*Dados!$C$5/8-Dados!$C$33*C42),(7*Dados!$C$33*Dados!$C$5/16-Dados!$C$33*C42),(-Dados!$C$33*Dados!$C$5/16)))</f>
        <v/>
      </c>
      <c r="N42" s="63">
        <f>IF(B42&lt;=Dados!$C$5,MIN(0,(3*Dados!$C$33*Dados!$C$5/8-Dados!$C$33*C42),(7*Dados!$C$33*Dados!$C$5/16-Dados!$C$33*C42),(-Dados!$C$33*Dados!$C$5/16)),-MAX(0,(3*Dados!$C$33*Dados!$C$5/8-Dados!$C$33*C42),(7*Dados!$C$33*Dados!$C$5/16-Dados!$C$33*C42),(-Dados!$C$33*Dados!$C$5/16)))</f>
        <v/>
      </c>
    </row>
    <row r="43" ht="15" customHeight="1" s="47">
      <c r="A43" s="62" t="n">
        <v>35</v>
      </c>
      <c r="B43" s="63">
        <f>A43*0.5</f>
        <v/>
      </c>
      <c r="C43" s="63">
        <f>IF(B43&lt;=Dados!$C$5,B43,2*Dados!$C$5-B43)</f>
        <v/>
      </c>
      <c r="D43" s="63">
        <f>(3*Dados!$C$30*Dados!$C$5*C43/8-Dados!$C$30*C43^2/2)</f>
        <v/>
      </c>
      <c r="E43" s="63">
        <f>(3*Dados!$C$32*Dados!$C$5*C43/8-Dados!$C$32*C43^2/2)</f>
        <v/>
      </c>
      <c r="F43" s="63">
        <f>MAX(0,(3*Dados!$C$33*Dados!$C$5*C43/8-Dados!$C$33*C43^2/2),(7*Dados!$C$33*Dados!$C$5*C43/16-Dados!$C$33*C43^2/2),(-Dados!$C$33*Dados!$C$5*C43/16))</f>
        <v/>
      </c>
      <c r="G43" s="63">
        <f>MIN(0,(3*Dados!$C$33*Dados!$C$5*C43/8-Dados!$C$33*C43^2/2),(7*Dados!$C$33*Dados!$C$5*C43/16-Dados!$C$33*C43^2/2),(-Dados!$C$33*Dados!$C$5*C43/16))</f>
        <v/>
      </c>
      <c r="H43" s="63">
        <f>E43+Dados!$C$34*F43</f>
        <v/>
      </c>
      <c r="I43" s="63">
        <f>E43+Dados!$C$34*G43</f>
        <v/>
      </c>
      <c r="J43" s="63">
        <f>E43+F43</f>
        <v/>
      </c>
      <c r="K43" s="63">
        <f>E43+G43</f>
        <v/>
      </c>
      <c r="L43" s="63">
        <f>IF(B43&lt;=Dados!$C$5,1,-1)*(3*Dados!$C$32*Dados!$C$5/8-Dados!$C$32*C43)</f>
        <v/>
      </c>
      <c r="M43" s="63">
        <f>IF(B43&lt;=Dados!$C$5,MAX(0,(3*Dados!$C$33*Dados!$C$5/8-Dados!$C$33*C43),(7*Dados!$C$33*Dados!$C$5/16-Dados!$C$33*C43),(-Dados!$C$33*Dados!$C$5/16)),-MIN(0,(3*Dados!$C$33*Dados!$C$5/8-Dados!$C$33*C43),(7*Dados!$C$33*Dados!$C$5/16-Dados!$C$33*C43),(-Dados!$C$33*Dados!$C$5/16)))</f>
        <v/>
      </c>
      <c r="N43" s="63">
        <f>IF(B43&lt;=Dados!$C$5,MIN(0,(3*Dados!$C$33*Dados!$C$5/8-Dados!$C$33*C43),(7*Dados!$C$33*Dados!$C$5/16-Dados!$C$33*C43),(-Dados!$C$33*Dados!$C$5/16)),-MAX(0,(3*Dados!$C$33*Dados!$C$5/8-Dados!$C$33*C43),(7*Dados!$C$33*Dados!$C$5/16-Dados!$C$33*C43),(-Dados!$C$33*Dados!$C$5/16)))</f>
        <v/>
      </c>
    </row>
    <row r="44" ht="15" customHeight="1" s="47">
      <c r="A44" s="62" t="n">
        <v>36</v>
      </c>
      <c r="B44" s="63">
        <f>A44*0.5</f>
        <v/>
      </c>
      <c r="C44" s="63">
        <f>IF(B44&lt;=Dados!$C$5,B44,2*Dados!$C$5-B44)</f>
        <v/>
      </c>
      <c r="D44" s="63">
        <f>(3*Dados!$C$30*Dados!$C$5*C44/8-Dados!$C$30*C44^2/2)</f>
        <v/>
      </c>
      <c r="E44" s="63">
        <f>(3*Dados!$C$32*Dados!$C$5*C44/8-Dados!$C$32*C44^2/2)</f>
        <v/>
      </c>
      <c r="F44" s="63">
        <f>MAX(0,(3*Dados!$C$33*Dados!$C$5*C44/8-Dados!$C$33*C44^2/2),(7*Dados!$C$33*Dados!$C$5*C44/16-Dados!$C$33*C44^2/2),(-Dados!$C$33*Dados!$C$5*C44/16))</f>
        <v/>
      </c>
      <c r="G44" s="63">
        <f>MIN(0,(3*Dados!$C$33*Dados!$C$5*C44/8-Dados!$C$33*C44^2/2),(7*Dados!$C$33*Dados!$C$5*C44/16-Dados!$C$33*C44^2/2),(-Dados!$C$33*Dados!$C$5*C44/16))</f>
        <v/>
      </c>
      <c r="H44" s="63">
        <f>E44+Dados!$C$34*F44</f>
        <v/>
      </c>
      <c r="I44" s="63">
        <f>E44+Dados!$C$34*G44</f>
        <v/>
      </c>
      <c r="J44" s="63">
        <f>E44+F44</f>
        <v/>
      </c>
      <c r="K44" s="63">
        <f>E44+G44</f>
        <v/>
      </c>
      <c r="L44" s="63">
        <f>IF(B44&lt;=Dados!$C$5,1,-1)*(3*Dados!$C$32*Dados!$C$5/8-Dados!$C$32*C44)</f>
        <v/>
      </c>
      <c r="M44" s="63">
        <f>IF(B44&lt;=Dados!$C$5,MAX(0,(3*Dados!$C$33*Dados!$C$5/8-Dados!$C$33*C44),(7*Dados!$C$33*Dados!$C$5/16-Dados!$C$33*C44),(-Dados!$C$33*Dados!$C$5/16)),-MIN(0,(3*Dados!$C$33*Dados!$C$5/8-Dados!$C$33*C44),(7*Dados!$C$33*Dados!$C$5/16-Dados!$C$33*C44),(-Dados!$C$33*Dados!$C$5/16)))</f>
        <v/>
      </c>
      <c r="N44" s="63">
        <f>IF(B44&lt;=Dados!$C$5,MIN(0,(3*Dados!$C$33*Dados!$C$5/8-Dados!$C$33*C44),(7*Dados!$C$33*Dados!$C$5/16-Dados!$C$33*C44),(-Dados!$C$33*Dados!$C$5/16)),-MAX(0,(3*Dados!$C$33*Dados!$C$5/8-Dados!$C$33*C44),(7*Dados!$C$33*Dados!$C$5/16-Dados!$C$33*C44),(-Dados!$C$33*Dados!$C$5/16)))</f>
        <v/>
      </c>
    </row>
    <row r="45" ht="15" customHeight="1" s="47">
      <c r="A45" s="62" t="n">
        <v>37</v>
      </c>
      <c r="B45" s="63">
        <f>A45*0.5</f>
        <v/>
      </c>
      <c r="C45" s="63">
        <f>IF(B45&lt;=Dados!$C$5,B45,2*Dados!$C$5-B45)</f>
        <v/>
      </c>
      <c r="D45" s="63">
        <f>(3*Dados!$C$30*Dados!$C$5*C45/8-Dados!$C$30*C45^2/2)</f>
        <v/>
      </c>
      <c r="E45" s="63">
        <f>(3*Dados!$C$32*Dados!$C$5*C45/8-Dados!$C$32*C45^2/2)</f>
        <v/>
      </c>
      <c r="F45" s="63">
        <f>MAX(0,(3*Dados!$C$33*Dados!$C$5*C45/8-Dados!$C$33*C45^2/2),(7*Dados!$C$33*Dados!$C$5*C45/16-Dados!$C$33*C45^2/2),(-Dados!$C$33*Dados!$C$5*C45/16))</f>
        <v/>
      </c>
      <c r="G45" s="63">
        <f>MIN(0,(3*Dados!$C$33*Dados!$C$5*C45/8-Dados!$C$33*C45^2/2),(7*Dados!$C$33*Dados!$C$5*C45/16-Dados!$C$33*C45^2/2),(-Dados!$C$33*Dados!$C$5*C45/16))</f>
        <v/>
      </c>
      <c r="H45" s="63">
        <f>E45+Dados!$C$34*F45</f>
        <v/>
      </c>
      <c r="I45" s="63">
        <f>E45+Dados!$C$34*G45</f>
        <v/>
      </c>
      <c r="J45" s="63">
        <f>E45+F45</f>
        <v/>
      </c>
      <c r="K45" s="63">
        <f>E45+G45</f>
        <v/>
      </c>
      <c r="L45" s="63">
        <f>IF(B45&lt;=Dados!$C$5,1,-1)*(3*Dados!$C$32*Dados!$C$5/8-Dados!$C$32*C45)</f>
        <v/>
      </c>
      <c r="M45" s="63">
        <f>IF(B45&lt;=Dados!$C$5,MAX(0,(3*Dados!$C$33*Dados!$C$5/8-Dados!$C$33*C45),(7*Dados!$C$33*Dados!$C$5/16-Dados!$C$33*C45),(-Dados!$C$33*Dados!$C$5/16)),-MIN(0,(3*Dados!$C$33*Dados!$C$5/8-Dados!$C$33*C45),(7*Dados!$C$33*Dados!$C$5/16-Dados!$C$33*C45),(-Dados!$C$33*Dados!$C$5/16)))</f>
        <v/>
      </c>
      <c r="N45" s="63">
        <f>IF(B45&lt;=Dados!$C$5,MIN(0,(3*Dados!$C$33*Dados!$C$5/8-Dados!$C$33*C45),(7*Dados!$C$33*Dados!$C$5/16-Dados!$C$33*C45),(-Dados!$C$33*Dados!$C$5/16)),-MAX(0,(3*Dados!$C$33*Dados!$C$5/8-Dados!$C$33*C45),(7*Dados!$C$33*Dados!$C$5/16-Dados!$C$33*C45),(-Dados!$C$33*Dados!$C$5/16)))</f>
        <v/>
      </c>
    </row>
    <row r="46" ht="15" customHeight="1" s="47">
      <c r="A46" s="62" t="n">
        <v>38</v>
      </c>
      <c r="B46" s="63">
        <f>A46*0.5</f>
        <v/>
      </c>
      <c r="C46" s="63">
        <f>IF(B46&lt;=Dados!$C$5,B46,2*Dados!$C$5-B46)</f>
        <v/>
      </c>
      <c r="D46" s="63">
        <f>(3*Dados!$C$30*Dados!$C$5*C46/8-Dados!$C$30*C46^2/2)</f>
        <v/>
      </c>
      <c r="E46" s="63">
        <f>(3*Dados!$C$32*Dados!$C$5*C46/8-Dados!$C$32*C46^2/2)</f>
        <v/>
      </c>
      <c r="F46" s="63">
        <f>MAX(0,(3*Dados!$C$33*Dados!$C$5*C46/8-Dados!$C$33*C46^2/2),(7*Dados!$C$33*Dados!$C$5*C46/16-Dados!$C$33*C46^2/2),(-Dados!$C$33*Dados!$C$5*C46/16))</f>
        <v/>
      </c>
      <c r="G46" s="63">
        <f>MIN(0,(3*Dados!$C$33*Dados!$C$5*C46/8-Dados!$C$33*C46^2/2),(7*Dados!$C$33*Dados!$C$5*C46/16-Dados!$C$33*C46^2/2),(-Dados!$C$33*Dados!$C$5*C46/16))</f>
        <v/>
      </c>
      <c r="H46" s="63">
        <f>E46+Dados!$C$34*F46</f>
        <v/>
      </c>
      <c r="I46" s="63">
        <f>E46+Dados!$C$34*G46</f>
        <v/>
      </c>
      <c r="J46" s="63">
        <f>E46+F46</f>
        <v/>
      </c>
      <c r="K46" s="63">
        <f>E46+G46</f>
        <v/>
      </c>
      <c r="L46" s="63">
        <f>IF(B46&lt;=Dados!$C$5,1,-1)*(3*Dados!$C$32*Dados!$C$5/8-Dados!$C$32*C46)</f>
        <v/>
      </c>
      <c r="M46" s="63">
        <f>IF(B46&lt;=Dados!$C$5,MAX(0,(3*Dados!$C$33*Dados!$C$5/8-Dados!$C$33*C46),(7*Dados!$C$33*Dados!$C$5/16-Dados!$C$33*C46),(-Dados!$C$33*Dados!$C$5/16)),-MIN(0,(3*Dados!$C$33*Dados!$C$5/8-Dados!$C$33*C46),(7*Dados!$C$33*Dados!$C$5/16-Dados!$C$33*C46),(-Dados!$C$33*Dados!$C$5/16)))</f>
        <v/>
      </c>
      <c r="N46" s="63">
        <f>IF(B46&lt;=Dados!$C$5,MIN(0,(3*Dados!$C$33*Dados!$C$5/8-Dados!$C$33*C46),(7*Dados!$C$33*Dados!$C$5/16-Dados!$C$33*C46),(-Dados!$C$33*Dados!$C$5/16)),-MAX(0,(3*Dados!$C$33*Dados!$C$5/8-Dados!$C$33*C46),(7*Dados!$C$33*Dados!$C$5/16-Dados!$C$33*C46),(-Dados!$C$33*Dados!$C$5/16)))</f>
        <v/>
      </c>
    </row>
    <row r="47" ht="15" customHeight="1" s="47">
      <c r="A47" s="62" t="n">
        <v>39</v>
      </c>
      <c r="B47" s="63">
        <f>A47*0.5</f>
        <v/>
      </c>
      <c r="C47" s="63">
        <f>IF(B47&lt;=Dados!$C$5,B47,2*Dados!$C$5-B47)</f>
        <v/>
      </c>
      <c r="D47" s="63">
        <f>(3*Dados!$C$30*Dados!$C$5*C47/8-Dados!$C$30*C47^2/2)</f>
        <v/>
      </c>
      <c r="E47" s="63">
        <f>(3*Dados!$C$32*Dados!$C$5*C47/8-Dados!$C$32*C47^2/2)</f>
        <v/>
      </c>
      <c r="F47" s="63">
        <f>MAX(0,(3*Dados!$C$33*Dados!$C$5*C47/8-Dados!$C$33*C47^2/2),(7*Dados!$C$33*Dados!$C$5*C47/16-Dados!$C$33*C47^2/2),(-Dados!$C$33*Dados!$C$5*C47/16))</f>
        <v/>
      </c>
      <c r="G47" s="63">
        <f>MIN(0,(3*Dados!$C$33*Dados!$C$5*C47/8-Dados!$C$33*C47^2/2),(7*Dados!$C$33*Dados!$C$5*C47/16-Dados!$C$33*C47^2/2),(-Dados!$C$33*Dados!$C$5*C47/16))</f>
        <v/>
      </c>
      <c r="H47" s="63">
        <f>E47+Dados!$C$34*F47</f>
        <v/>
      </c>
      <c r="I47" s="63">
        <f>E47+Dados!$C$34*G47</f>
        <v/>
      </c>
      <c r="J47" s="63">
        <f>E47+F47</f>
        <v/>
      </c>
      <c r="K47" s="63">
        <f>E47+G47</f>
        <v/>
      </c>
      <c r="L47" s="63">
        <f>IF(B47&lt;=Dados!$C$5,1,-1)*(3*Dados!$C$32*Dados!$C$5/8-Dados!$C$32*C47)</f>
        <v/>
      </c>
      <c r="M47" s="63">
        <f>IF(B47&lt;=Dados!$C$5,MAX(0,(3*Dados!$C$33*Dados!$C$5/8-Dados!$C$33*C47),(7*Dados!$C$33*Dados!$C$5/16-Dados!$C$33*C47),(-Dados!$C$33*Dados!$C$5/16)),-MIN(0,(3*Dados!$C$33*Dados!$C$5/8-Dados!$C$33*C47),(7*Dados!$C$33*Dados!$C$5/16-Dados!$C$33*C47),(-Dados!$C$33*Dados!$C$5/16)))</f>
        <v/>
      </c>
      <c r="N47" s="63">
        <f>IF(B47&lt;=Dados!$C$5,MIN(0,(3*Dados!$C$33*Dados!$C$5/8-Dados!$C$33*C47),(7*Dados!$C$33*Dados!$C$5/16-Dados!$C$33*C47),(-Dados!$C$33*Dados!$C$5/16)),-MAX(0,(3*Dados!$C$33*Dados!$C$5/8-Dados!$C$33*C47),(7*Dados!$C$33*Dados!$C$5/16-Dados!$C$33*C47),(-Dados!$C$33*Dados!$C$5/16)))</f>
        <v/>
      </c>
    </row>
    <row r="48" ht="15" customHeight="1" s="47">
      <c r="A48" s="62" t="n">
        <v>40</v>
      </c>
      <c r="B48" s="63">
        <f>A48*0.5</f>
        <v/>
      </c>
      <c r="C48" s="63">
        <f>IF(B48&lt;=Dados!$C$5,B48,2*Dados!$C$5-B48)</f>
        <v/>
      </c>
      <c r="D48" s="63">
        <f>(3*Dados!$C$30*Dados!$C$5*C48/8-Dados!$C$30*C48^2/2)</f>
        <v/>
      </c>
      <c r="E48" s="63">
        <f>(3*Dados!$C$32*Dados!$C$5*C48/8-Dados!$C$32*C48^2/2)</f>
        <v/>
      </c>
      <c r="F48" s="63">
        <f>MAX(0,(3*Dados!$C$33*Dados!$C$5*C48/8-Dados!$C$33*C48^2/2),(7*Dados!$C$33*Dados!$C$5*C48/16-Dados!$C$33*C48^2/2),(-Dados!$C$33*Dados!$C$5*C48/16))</f>
        <v/>
      </c>
      <c r="G48" s="63">
        <f>MIN(0,(3*Dados!$C$33*Dados!$C$5*C48/8-Dados!$C$33*C48^2/2),(7*Dados!$C$33*Dados!$C$5*C48/16-Dados!$C$33*C48^2/2),(-Dados!$C$33*Dados!$C$5*C48/16))</f>
        <v/>
      </c>
      <c r="H48" s="63">
        <f>E48+Dados!$C$34*F48</f>
        <v/>
      </c>
      <c r="I48" s="63">
        <f>E48+Dados!$C$34*G48</f>
        <v/>
      </c>
      <c r="J48" s="63">
        <f>E48+F48</f>
        <v/>
      </c>
      <c r="K48" s="63">
        <f>E48+G48</f>
        <v/>
      </c>
      <c r="L48" s="63">
        <f>IF(B48&lt;=Dados!$C$5,1,-1)*(3*Dados!$C$32*Dados!$C$5/8-Dados!$C$32*C48)</f>
        <v/>
      </c>
      <c r="M48" s="63">
        <f>IF(B48&lt;=Dados!$C$5,MAX(0,(3*Dados!$C$33*Dados!$C$5/8-Dados!$C$33*C48),(7*Dados!$C$33*Dados!$C$5/16-Dados!$C$33*C48),(-Dados!$C$33*Dados!$C$5/16)),-MIN(0,(3*Dados!$C$33*Dados!$C$5/8-Dados!$C$33*C48),(7*Dados!$C$33*Dados!$C$5/16-Dados!$C$33*C48),(-Dados!$C$33*Dados!$C$5/16)))</f>
        <v/>
      </c>
      <c r="N48" s="63">
        <f>IF(B48&lt;=Dados!$C$5,MIN(0,(3*Dados!$C$33*Dados!$C$5/8-Dados!$C$33*C48),(7*Dados!$C$33*Dados!$C$5/16-Dados!$C$33*C48),(-Dados!$C$33*Dados!$C$5/16)),-MAX(0,(3*Dados!$C$33*Dados!$C$5/8-Dados!$C$33*C48),(7*Dados!$C$33*Dados!$C$5/16-Dados!$C$33*C48),(-Dados!$C$33*Dados!$C$5/16)))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D4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46" min="1" max="12"/>
    <col width="14" customWidth="1" style="46" min="13" max="13"/>
    <col width="11" customWidth="1" style="46" min="14" max="14"/>
    <col width="14" customWidth="1" style="46" min="15" max="15"/>
    <col width="12" customWidth="1" style="46" min="16" max="16"/>
    <col width="11" customWidth="1" style="46" min="17" max="19"/>
    <col width="12" customWidth="1" style="46" min="20" max="20"/>
    <col width="11" customWidth="1" style="46" min="21" max="30"/>
  </cols>
  <sheetData>
    <row r="1" ht="16.15" customHeight="1" s="47">
      <c r="A1" s="59" t="inlineStr">
        <is>
          <t>Traçado do cabo resultante e perdas de protensão (mecanismos físicos)</t>
        </is>
      </c>
    </row>
    <row r="2" ht="15" customHeight="1" s="47">
      <c r="A2" s="49" t="inlineStr">
        <is>
          <t>Cabo resultante parabólico composto (vão + parábola reversa no apoio). Protensão simultânea pelas duas extremidades; atrito (NBR 6118 9.6.3.3.2), cravação, encurtamento elástico e perdas progressivas (NBR 6118 9.6.3.4.2).</t>
        </is>
      </c>
    </row>
    <row r="6" ht="31.5" customHeight="1" s="47">
      <c r="A6" s="60" t="inlineStr">
        <is>
          <t>i</t>
        </is>
      </c>
      <c r="B6" s="60" t="inlineStr">
        <is>
          <t>x</t>
        </is>
      </c>
      <c r="C6" s="60" t="inlineStr">
        <is>
          <t>s</t>
        </is>
      </c>
      <c r="D6" s="60" t="inlineStr">
        <is>
          <t>e(x) (+ abaixo do CG)</t>
        </is>
      </c>
      <c r="E6" s="60" t="inlineStr">
        <is>
          <t>de/dx</t>
        </is>
      </c>
      <c r="F6" s="60" t="inlineStr">
        <is>
          <t>α</t>
        </is>
      </c>
      <c r="G6" s="60" t="inlineStr">
        <is>
          <t>cos α</t>
        </is>
      </c>
      <c r="H6" s="60" t="inlineStr">
        <is>
          <t>sen α</t>
        </is>
      </c>
      <c r="I6" s="60" t="inlineStr">
        <is>
          <t>Δα</t>
        </is>
      </c>
      <c r="J6" s="60" t="inlineStr">
        <is>
          <t>Σα</t>
        </is>
      </c>
      <c r="K6" s="60" t="inlineStr">
        <is>
          <t>Δs (arco)</t>
        </is>
      </c>
      <c r="L6" s="60" t="inlineStr">
        <is>
          <t>Σs</t>
        </is>
      </c>
      <c r="M6" s="60" t="inlineStr">
        <is>
          <t>σp atrito (da extremidade esq.)</t>
        </is>
      </c>
      <c r="N6" s="60" t="inlineStr">
        <is>
          <t>∫σ dx</t>
        </is>
      </c>
      <c r="O6" s="60" t="inlineStr">
        <is>
          <t>Δ(x) = 2[∫σ - σ·x]/Ep</t>
        </is>
      </c>
      <c r="P6" s="60" t="inlineStr">
        <is>
          <t>σp após cravação</t>
        </is>
      </c>
      <c r="Q6" s="60" t="inlineStr">
        <is>
          <t>Δσ enc. elástico</t>
        </is>
      </c>
      <c r="R6" s="60" t="inlineStr">
        <is>
          <t>σp,i (ato)</t>
        </is>
      </c>
      <c r="S6" s="60" t="inlineStr">
        <is>
          <t>Pi (ato)</t>
        </is>
      </c>
      <c r="T6" s="60" t="inlineStr">
        <is>
          <t>σcp0 (concreto no cabo)</t>
        </is>
      </c>
      <c r="U6" s="60" t="inlineStr">
        <is>
          <t>σp,i/fptk</t>
        </is>
      </c>
      <c r="V6" s="60" t="inlineStr">
        <is>
          <t>ψ1000</t>
        </is>
      </c>
      <c r="W6" s="60" t="inlineStr">
        <is>
          <t>ψ(t∞)=2,5ψ1000</t>
        </is>
      </c>
      <c r="X6" s="60" t="inlineStr">
        <is>
          <t>χ = -ln(1-ψ)</t>
        </is>
      </c>
      <c r="Y6" s="60" t="inlineStr">
        <is>
          <t>η = 1+e²Ac/Ic</t>
        </is>
      </c>
      <c r="Z6" s="60" t="inlineStr">
        <is>
          <t>Δσp progressivas</t>
        </is>
      </c>
      <c r="AA6" s="60" t="inlineStr">
        <is>
          <t>σp,∞</t>
        </is>
      </c>
      <c r="AB6" s="60" t="inlineStr">
        <is>
          <t>P∞</t>
        </is>
      </c>
      <c r="AC6" s="60" t="inlineStr">
        <is>
          <t>Pi/Pj</t>
        </is>
      </c>
      <c r="AD6" s="60" t="inlineStr">
        <is>
          <t>P∞/Pi</t>
        </is>
      </c>
    </row>
    <row r="7" ht="15" customHeight="1" s="47">
      <c r="A7" s="61" t="n"/>
      <c r="B7" s="61" t="inlineStr">
        <is>
          <t>m</t>
        </is>
      </c>
      <c r="C7" s="61" t="inlineStr">
        <is>
          <t>m</t>
        </is>
      </c>
      <c r="D7" s="61" t="inlineStr">
        <is>
          <t>m</t>
        </is>
      </c>
      <c r="E7" s="61" t="n"/>
      <c r="F7" s="61" t="inlineStr">
        <is>
          <t>rad</t>
        </is>
      </c>
      <c r="G7" s="61" t="n"/>
      <c r="H7" s="61" t="n"/>
      <c r="I7" s="61" t="inlineStr">
        <is>
          <t>rad</t>
        </is>
      </c>
      <c r="J7" s="61" t="inlineStr">
        <is>
          <t>rad</t>
        </is>
      </c>
      <c r="K7" s="61" t="inlineStr">
        <is>
          <t>m</t>
        </is>
      </c>
      <c r="L7" s="61" t="inlineStr">
        <is>
          <t>m</t>
        </is>
      </c>
      <c r="M7" s="61" t="inlineStr">
        <is>
          <t>MPa</t>
        </is>
      </c>
      <c r="N7" s="61" t="inlineStr">
        <is>
          <t>MPa·m</t>
        </is>
      </c>
      <c r="O7" s="61" t="inlineStr">
        <is>
          <t>m</t>
        </is>
      </c>
      <c r="P7" s="61" t="inlineStr">
        <is>
          <t>MPa</t>
        </is>
      </c>
      <c r="Q7" s="61" t="inlineStr">
        <is>
          <t>MPa</t>
        </is>
      </c>
      <c r="R7" s="61" t="inlineStr">
        <is>
          <t>MPa</t>
        </is>
      </c>
      <c r="S7" s="61" t="inlineStr">
        <is>
          <t>kN</t>
        </is>
      </c>
      <c r="T7" s="61" t="inlineStr">
        <is>
          <t>MPa</t>
        </is>
      </c>
      <c r="U7" s="61" t="n"/>
      <c r="V7" s="61" t="n"/>
      <c r="W7" s="61" t="n"/>
      <c r="X7" s="61" t="n"/>
      <c r="Y7" s="61" t="n"/>
      <c r="Z7" s="61" t="inlineStr">
        <is>
          <t>MPa</t>
        </is>
      </c>
      <c r="AA7" s="61" t="inlineStr">
        <is>
          <t>MPa</t>
        </is>
      </c>
      <c r="AB7" s="61" t="inlineStr">
        <is>
          <t>kN</t>
        </is>
      </c>
      <c r="AC7" s="61" t="n"/>
      <c r="AD7" s="61" t="n"/>
    </row>
    <row r="8" ht="15" customHeight="1" s="47">
      <c r="A8" s="62" t="n">
        <v>0</v>
      </c>
      <c r="B8" s="63">
        <f>A8*0.5</f>
        <v/>
      </c>
      <c r="C8" s="63">
        <f>IF(B8&lt;=Dados!$C$5,B8,2*Dados!$C$5-B8)</f>
        <v/>
      </c>
      <c r="D8" s="64">
        <f>IF(C8&lt;=Dados!$C$47,Dados!$C$44-Dados!$C$53*(C8-Dados!$C$52)^2,-Dados!$C$45+Dados!$C$54*(Dados!$C$5-C8)^2)</f>
        <v/>
      </c>
      <c r="E8" s="65">
        <f>IF(B8&lt;=Dados!$C$5,1,-1)*IF(C8&lt;=Dados!$C$47,-2*Dados!$C$53*(C8-Dados!$C$52),-2*Dados!$C$54*(Dados!$C$5-C8))</f>
        <v/>
      </c>
      <c r="F8" s="65">
        <f>ATAN(E8)</f>
        <v/>
      </c>
      <c r="G8" s="65">
        <f>COS(F8)</f>
        <v/>
      </c>
      <c r="H8" s="65">
        <f>SIN(F8)</f>
        <v/>
      </c>
      <c r="I8" s="65" t="n">
        <v>0</v>
      </c>
      <c r="J8" s="65">
        <f>I8</f>
        <v/>
      </c>
      <c r="K8" s="64" t="n">
        <v>0</v>
      </c>
      <c r="L8" s="66">
        <f>K8</f>
        <v/>
      </c>
      <c r="M8" s="63">
        <f>Dados!$C$67*EXP(-Dados!$C$70*J8-Dados!$C$71*L8)</f>
        <v/>
      </c>
      <c r="N8" s="67" t="n">
        <v>0</v>
      </c>
      <c r="O8" s="65">
        <f>2*(N8-M8*B8)/Dados!$C$65</f>
        <v/>
      </c>
      <c r="P8" s="63">
        <f>IF(B8&lt;=Dados!$C$81,2*Dados!$C$82-M8,M8)</f>
        <v/>
      </c>
      <c r="Q8" s="67">
        <f>MAX(Dados!$C$77*(Dados!$C$59*(1/Dados!$C$8+D8^2/Dados!$C$9)*P8-Esforcos!D8*D8/Dados!$C$9/1000)/(1+Dados!$C$77*Dados!$C$59*(1/Dados!$C$8+D8^2/Dados!$C$9)),0)</f>
        <v/>
      </c>
      <c r="R8" s="63">
        <f>P8-Q8</f>
        <v/>
      </c>
      <c r="S8" s="63">
        <f>Dados!$C$59*R8*1000</f>
        <v/>
      </c>
      <c r="T8" s="66">
        <f>(-S8/Dados!$C$8-S8*D8^2/Dados!$C$9+Esforcos!D8*D8/Dados!$C$9)/1000</f>
        <v/>
      </c>
      <c r="U8" s="64">
        <f>R8/Dados!$C$60</f>
        <v/>
      </c>
      <c r="V8" s="65">
        <f>IF(U8&lt;=0.5,0,IF(U8&lt;=0.6,(U8-0.5)/0.1*1.3,IF(U8&lt;=0.7,1.3+(U8-0.6)/0.1*1.2,IF(U8&lt;=0.8,2.5+(U8-0.7)/0.1*1,3.5))))/100</f>
        <v/>
      </c>
      <c r="W8" s="65">
        <f>2.5*V8</f>
        <v/>
      </c>
      <c r="X8" s="65">
        <f>-LN(1-W8)</f>
        <v/>
      </c>
      <c r="Y8" s="64">
        <f>1+D8^2*Dados!$C$8/Dados!$C$9</f>
        <v/>
      </c>
      <c r="Z8" s="63">
        <f>(ABS(Dados!$C$74)*Dados!$C$65+Dados!$C$76*ABS(T8)*Dados!$C$73+R8*X8)/((1+X8)+(1+0.5*Dados!$C$73)*Dados!$C$76*Y8*Dados!$C$78)</f>
        <v/>
      </c>
      <c r="AA8" s="63">
        <f>R8-Z8</f>
        <v/>
      </c>
      <c r="AB8" s="63">
        <f>Dados!$C$59*AA8*1000</f>
        <v/>
      </c>
      <c r="AC8" s="64">
        <f>S8/Dados!$C$68</f>
        <v/>
      </c>
      <c r="AD8" s="64">
        <f>AB8/S8</f>
        <v/>
      </c>
    </row>
    <row r="9" ht="15" customHeight="1" s="47">
      <c r="A9" s="62" t="n">
        <v>1</v>
      </c>
      <c r="B9" s="63">
        <f>A9*0.5</f>
        <v/>
      </c>
      <c r="C9" s="63">
        <f>IF(B9&lt;=Dados!$C$5,B9,2*Dados!$C$5-B9)</f>
        <v/>
      </c>
      <c r="D9" s="64">
        <f>IF(C9&lt;=Dados!$C$47,Dados!$C$44-Dados!$C$53*(C9-Dados!$C$52)^2,-Dados!$C$45+Dados!$C$54*(Dados!$C$5-C9)^2)</f>
        <v/>
      </c>
      <c r="E9" s="65">
        <f>IF(B9&lt;=Dados!$C$5,1,-1)*IF(C9&lt;=Dados!$C$47,-2*Dados!$C$53*(C9-Dados!$C$52),-2*Dados!$C$54*(Dados!$C$5-C9))</f>
        <v/>
      </c>
      <c r="F9" s="65">
        <f>ATAN(E9)</f>
        <v/>
      </c>
      <c r="G9" s="65">
        <f>COS(F9)</f>
        <v/>
      </c>
      <c r="H9" s="65">
        <f>SIN(F9)</f>
        <v/>
      </c>
      <c r="I9" s="65">
        <f>ABS(F9-F8)</f>
        <v/>
      </c>
      <c r="J9" s="65">
        <f>J8+I9</f>
        <v/>
      </c>
      <c r="K9" s="64">
        <f>SQRT((B9-B8)^2+(D9-D8)^2)</f>
        <v/>
      </c>
      <c r="L9" s="66">
        <f>L8+K9</f>
        <v/>
      </c>
      <c r="M9" s="63">
        <f>Dados!$C$67*EXP(-Dados!$C$70*J9-Dados!$C$71*L9)</f>
        <v/>
      </c>
      <c r="N9" s="67">
        <f>N8+0.5*(M9+M8)*(B9-B8)</f>
        <v/>
      </c>
      <c r="O9" s="65">
        <f>2*(N9-M9*B9)/Dados!$C$65</f>
        <v/>
      </c>
      <c r="P9" s="63">
        <f>IF(B9&lt;=Dados!$C$81,2*Dados!$C$82-M9,M9)</f>
        <v/>
      </c>
      <c r="Q9" s="67">
        <f>MAX(Dados!$C$77*(Dados!$C$59*(1/Dados!$C$8+D9^2/Dados!$C$9)*P9-Esforcos!D9*D9/Dados!$C$9/1000)/(1+Dados!$C$77*Dados!$C$59*(1/Dados!$C$8+D9^2/Dados!$C$9)),0)</f>
        <v/>
      </c>
      <c r="R9" s="63">
        <f>P9-Q9</f>
        <v/>
      </c>
      <c r="S9" s="63">
        <f>Dados!$C$59*R9*1000</f>
        <v/>
      </c>
      <c r="T9" s="66">
        <f>(-S9/Dados!$C$8-S9*D9^2/Dados!$C$9+Esforcos!D9*D9/Dados!$C$9)/1000</f>
        <v/>
      </c>
      <c r="U9" s="64">
        <f>R9/Dados!$C$60</f>
        <v/>
      </c>
      <c r="V9" s="65">
        <f>IF(U9&lt;=0.5,0,IF(U9&lt;=0.6,(U9-0.5)/0.1*1.3,IF(U9&lt;=0.7,1.3+(U9-0.6)/0.1*1.2,IF(U9&lt;=0.8,2.5+(U9-0.7)/0.1*1,3.5))))/100</f>
        <v/>
      </c>
      <c r="W9" s="65">
        <f>2.5*V9</f>
        <v/>
      </c>
      <c r="X9" s="65">
        <f>-LN(1-W9)</f>
        <v/>
      </c>
      <c r="Y9" s="64">
        <f>1+D9^2*Dados!$C$8/Dados!$C$9</f>
        <v/>
      </c>
      <c r="Z9" s="63">
        <f>(ABS(Dados!$C$74)*Dados!$C$65+Dados!$C$76*ABS(T9)*Dados!$C$73+R9*X9)/((1+X9)+(1+0.5*Dados!$C$73)*Dados!$C$76*Y9*Dados!$C$78)</f>
        <v/>
      </c>
      <c r="AA9" s="63">
        <f>R9-Z9</f>
        <v/>
      </c>
      <c r="AB9" s="63">
        <f>Dados!$C$59*AA9*1000</f>
        <v/>
      </c>
      <c r="AC9" s="64">
        <f>S9/Dados!$C$68</f>
        <v/>
      </c>
      <c r="AD9" s="64">
        <f>AB9/S9</f>
        <v/>
      </c>
    </row>
    <row r="10" ht="15" customHeight="1" s="47">
      <c r="A10" s="62" t="n">
        <v>2</v>
      </c>
      <c r="B10" s="63">
        <f>A10*0.5</f>
        <v/>
      </c>
      <c r="C10" s="63">
        <f>IF(B10&lt;=Dados!$C$5,B10,2*Dados!$C$5-B10)</f>
        <v/>
      </c>
      <c r="D10" s="64">
        <f>IF(C10&lt;=Dados!$C$47,Dados!$C$44-Dados!$C$53*(C10-Dados!$C$52)^2,-Dados!$C$45+Dados!$C$54*(Dados!$C$5-C10)^2)</f>
        <v/>
      </c>
      <c r="E10" s="65">
        <f>IF(B10&lt;=Dados!$C$5,1,-1)*IF(C10&lt;=Dados!$C$47,-2*Dados!$C$53*(C10-Dados!$C$52),-2*Dados!$C$54*(Dados!$C$5-C10))</f>
        <v/>
      </c>
      <c r="F10" s="65">
        <f>ATAN(E10)</f>
        <v/>
      </c>
      <c r="G10" s="65">
        <f>COS(F10)</f>
        <v/>
      </c>
      <c r="H10" s="65">
        <f>SIN(F10)</f>
        <v/>
      </c>
      <c r="I10" s="65">
        <f>ABS(F10-F9)</f>
        <v/>
      </c>
      <c r="J10" s="65">
        <f>J9+I10</f>
        <v/>
      </c>
      <c r="K10" s="64">
        <f>SQRT((B10-B9)^2+(D10-D9)^2)</f>
        <v/>
      </c>
      <c r="L10" s="66">
        <f>L9+K10</f>
        <v/>
      </c>
      <c r="M10" s="63">
        <f>Dados!$C$67*EXP(-Dados!$C$70*J10-Dados!$C$71*L10)</f>
        <v/>
      </c>
      <c r="N10" s="67">
        <f>N9+0.5*(M10+M9)*(B10-B9)</f>
        <v/>
      </c>
      <c r="O10" s="65">
        <f>2*(N10-M10*B10)/Dados!$C$65</f>
        <v/>
      </c>
      <c r="P10" s="63">
        <f>IF(B10&lt;=Dados!$C$81,2*Dados!$C$82-M10,M10)</f>
        <v/>
      </c>
      <c r="Q10" s="67">
        <f>MAX(Dados!$C$77*(Dados!$C$59*(1/Dados!$C$8+D10^2/Dados!$C$9)*P10-Esforcos!D10*D10/Dados!$C$9/1000)/(1+Dados!$C$77*Dados!$C$59*(1/Dados!$C$8+D10^2/Dados!$C$9)),0)</f>
        <v/>
      </c>
      <c r="R10" s="63">
        <f>P10-Q10</f>
        <v/>
      </c>
      <c r="S10" s="63">
        <f>Dados!$C$59*R10*1000</f>
        <v/>
      </c>
      <c r="T10" s="66">
        <f>(-S10/Dados!$C$8-S10*D10^2/Dados!$C$9+Esforcos!D10*D10/Dados!$C$9)/1000</f>
        <v/>
      </c>
      <c r="U10" s="64">
        <f>R10/Dados!$C$60</f>
        <v/>
      </c>
      <c r="V10" s="65">
        <f>IF(U10&lt;=0.5,0,IF(U10&lt;=0.6,(U10-0.5)/0.1*1.3,IF(U10&lt;=0.7,1.3+(U10-0.6)/0.1*1.2,IF(U10&lt;=0.8,2.5+(U10-0.7)/0.1*1,3.5))))/100</f>
        <v/>
      </c>
      <c r="W10" s="65">
        <f>2.5*V10</f>
        <v/>
      </c>
      <c r="X10" s="65">
        <f>-LN(1-W10)</f>
        <v/>
      </c>
      <c r="Y10" s="64">
        <f>1+D10^2*Dados!$C$8/Dados!$C$9</f>
        <v/>
      </c>
      <c r="Z10" s="63">
        <f>(ABS(Dados!$C$74)*Dados!$C$65+Dados!$C$76*ABS(T10)*Dados!$C$73+R10*X10)/((1+X10)+(1+0.5*Dados!$C$73)*Dados!$C$76*Y10*Dados!$C$78)</f>
        <v/>
      </c>
      <c r="AA10" s="63">
        <f>R10-Z10</f>
        <v/>
      </c>
      <c r="AB10" s="63">
        <f>Dados!$C$59*AA10*1000</f>
        <v/>
      </c>
      <c r="AC10" s="64">
        <f>S10/Dados!$C$68</f>
        <v/>
      </c>
      <c r="AD10" s="64">
        <f>AB10/S10</f>
        <v/>
      </c>
    </row>
    <row r="11" ht="15" customHeight="1" s="47">
      <c r="A11" s="62" t="n">
        <v>3</v>
      </c>
      <c r="B11" s="63">
        <f>A11*0.5</f>
        <v/>
      </c>
      <c r="C11" s="63">
        <f>IF(B11&lt;=Dados!$C$5,B11,2*Dados!$C$5-B11)</f>
        <v/>
      </c>
      <c r="D11" s="64">
        <f>IF(C11&lt;=Dados!$C$47,Dados!$C$44-Dados!$C$53*(C11-Dados!$C$52)^2,-Dados!$C$45+Dados!$C$54*(Dados!$C$5-C11)^2)</f>
        <v/>
      </c>
      <c r="E11" s="65">
        <f>IF(B11&lt;=Dados!$C$5,1,-1)*IF(C11&lt;=Dados!$C$47,-2*Dados!$C$53*(C11-Dados!$C$52),-2*Dados!$C$54*(Dados!$C$5-C11))</f>
        <v/>
      </c>
      <c r="F11" s="65">
        <f>ATAN(E11)</f>
        <v/>
      </c>
      <c r="G11" s="65">
        <f>COS(F11)</f>
        <v/>
      </c>
      <c r="H11" s="65">
        <f>SIN(F11)</f>
        <v/>
      </c>
      <c r="I11" s="65">
        <f>ABS(F11-F10)</f>
        <v/>
      </c>
      <c r="J11" s="65">
        <f>J10+I11</f>
        <v/>
      </c>
      <c r="K11" s="64">
        <f>SQRT((B11-B10)^2+(D11-D10)^2)</f>
        <v/>
      </c>
      <c r="L11" s="66">
        <f>L10+K11</f>
        <v/>
      </c>
      <c r="M11" s="63">
        <f>Dados!$C$67*EXP(-Dados!$C$70*J11-Dados!$C$71*L11)</f>
        <v/>
      </c>
      <c r="N11" s="67">
        <f>N10+0.5*(M11+M10)*(B11-B10)</f>
        <v/>
      </c>
      <c r="O11" s="65">
        <f>2*(N11-M11*B11)/Dados!$C$65</f>
        <v/>
      </c>
      <c r="P11" s="63">
        <f>IF(B11&lt;=Dados!$C$81,2*Dados!$C$82-M11,M11)</f>
        <v/>
      </c>
      <c r="Q11" s="67">
        <f>MAX(Dados!$C$77*(Dados!$C$59*(1/Dados!$C$8+D11^2/Dados!$C$9)*P11-Esforcos!D11*D11/Dados!$C$9/1000)/(1+Dados!$C$77*Dados!$C$59*(1/Dados!$C$8+D11^2/Dados!$C$9)),0)</f>
        <v/>
      </c>
      <c r="R11" s="63">
        <f>P11-Q11</f>
        <v/>
      </c>
      <c r="S11" s="63">
        <f>Dados!$C$59*R11*1000</f>
        <v/>
      </c>
      <c r="T11" s="66">
        <f>(-S11/Dados!$C$8-S11*D11^2/Dados!$C$9+Esforcos!D11*D11/Dados!$C$9)/1000</f>
        <v/>
      </c>
      <c r="U11" s="64">
        <f>R11/Dados!$C$60</f>
        <v/>
      </c>
      <c r="V11" s="65">
        <f>IF(U11&lt;=0.5,0,IF(U11&lt;=0.6,(U11-0.5)/0.1*1.3,IF(U11&lt;=0.7,1.3+(U11-0.6)/0.1*1.2,IF(U11&lt;=0.8,2.5+(U11-0.7)/0.1*1,3.5))))/100</f>
        <v/>
      </c>
      <c r="W11" s="65">
        <f>2.5*V11</f>
        <v/>
      </c>
      <c r="X11" s="65">
        <f>-LN(1-W11)</f>
        <v/>
      </c>
      <c r="Y11" s="64">
        <f>1+D11^2*Dados!$C$8/Dados!$C$9</f>
        <v/>
      </c>
      <c r="Z11" s="63">
        <f>(ABS(Dados!$C$74)*Dados!$C$65+Dados!$C$76*ABS(T11)*Dados!$C$73+R11*X11)/((1+X11)+(1+0.5*Dados!$C$73)*Dados!$C$76*Y11*Dados!$C$78)</f>
        <v/>
      </c>
      <c r="AA11" s="63">
        <f>R11-Z11</f>
        <v/>
      </c>
      <c r="AB11" s="63">
        <f>Dados!$C$59*AA11*1000</f>
        <v/>
      </c>
      <c r="AC11" s="64">
        <f>S11/Dados!$C$68</f>
        <v/>
      </c>
      <c r="AD11" s="64">
        <f>AB11/S11</f>
        <v/>
      </c>
    </row>
    <row r="12" ht="15" customHeight="1" s="47">
      <c r="A12" s="62" t="n">
        <v>4</v>
      </c>
      <c r="B12" s="63">
        <f>A12*0.5</f>
        <v/>
      </c>
      <c r="C12" s="63">
        <f>IF(B12&lt;=Dados!$C$5,B12,2*Dados!$C$5-B12)</f>
        <v/>
      </c>
      <c r="D12" s="64">
        <f>IF(C12&lt;=Dados!$C$47,Dados!$C$44-Dados!$C$53*(C12-Dados!$C$52)^2,-Dados!$C$45+Dados!$C$54*(Dados!$C$5-C12)^2)</f>
        <v/>
      </c>
      <c r="E12" s="65">
        <f>IF(B12&lt;=Dados!$C$5,1,-1)*IF(C12&lt;=Dados!$C$47,-2*Dados!$C$53*(C12-Dados!$C$52),-2*Dados!$C$54*(Dados!$C$5-C12))</f>
        <v/>
      </c>
      <c r="F12" s="65">
        <f>ATAN(E12)</f>
        <v/>
      </c>
      <c r="G12" s="65">
        <f>COS(F12)</f>
        <v/>
      </c>
      <c r="H12" s="65">
        <f>SIN(F12)</f>
        <v/>
      </c>
      <c r="I12" s="65">
        <f>ABS(F12-F11)</f>
        <v/>
      </c>
      <c r="J12" s="65">
        <f>J11+I12</f>
        <v/>
      </c>
      <c r="K12" s="64">
        <f>SQRT((B12-B11)^2+(D12-D11)^2)</f>
        <v/>
      </c>
      <c r="L12" s="66">
        <f>L11+K12</f>
        <v/>
      </c>
      <c r="M12" s="63">
        <f>Dados!$C$67*EXP(-Dados!$C$70*J12-Dados!$C$71*L12)</f>
        <v/>
      </c>
      <c r="N12" s="67">
        <f>N11+0.5*(M12+M11)*(B12-B11)</f>
        <v/>
      </c>
      <c r="O12" s="65">
        <f>2*(N12-M12*B12)/Dados!$C$65</f>
        <v/>
      </c>
      <c r="P12" s="63">
        <f>IF(B12&lt;=Dados!$C$81,2*Dados!$C$82-M12,M12)</f>
        <v/>
      </c>
      <c r="Q12" s="67">
        <f>MAX(Dados!$C$77*(Dados!$C$59*(1/Dados!$C$8+D12^2/Dados!$C$9)*P12-Esforcos!D12*D12/Dados!$C$9/1000)/(1+Dados!$C$77*Dados!$C$59*(1/Dados!$C$8+D12^2/Dados!$C$9)),0)</f>
        <v/>
      </c>
      <c r="R12" s="63">
        <f>P12-Q12</f>
        <v/>
      </c>
      <c r="S12" s="63">
        <f>Dados!$C$59*R12*1000</f>
        <v/>
      </c>
      <c r="T12" s="66">
        <f>(-S12/Dados!$C$8-S12*D12^2/Dados!$C$9+Esforcos!D12*D12/Dados!$C$9)/1000</f>
        <v/>
      </c>
      <c r="U12" s="64">
        <f>R12/Dados!$C$60</f>
        <v/>
      </c>
      <c r="V12" s="65">
        <f>IF(U12&lt;=0.5,0,IF(U12&lt;=0.6,(U12-0.5)/0.1*1.3,IF(U12&lt;=0.7,1.3+(U12-0.6)/0.1*1.2,IF(U12&lt;=0.8,2.5+(U12-0.7)/0.1*1,3.5))))/100</f>
        <v/>
      </c>
      <c r="W12" s="65">
        <f>2.5*V12</f>
        <v/>
      </c>
      <c r="X12" s="65">
        <f>-LN(1-W12)</f>
        <v/>
      </c>
      <c r="Y12" s="64">
        <f>1+D12^2*Dados!$C$8/Dados!$C$9</f>
        <v/>
      </c>
      <c r="Z12" s="63">
        <f>(ABS(Dados!$C$74)*Dados!$C$65+Dados!$C$76*ABS(T12)*Dados!$C$73+R12*X12)/((1+X12)+(1+0.5*Dados!$C$73)*Dados!$C$76*Y12*Dados!$C$78)</f>
        <v/>
      </c>
      <c r="AA12" s="63">
        <f>R12-Z12</f>
        <v/>
      </c>
      <c r="AB12" s="63">
        <f>Dados!$C$59*AA12*1000</f>
        <v/>
      </c>
      <c r="AC12" s="64">
        <f>S12/Dados!$C$68</f>
        <v/>
      </c>
      <c r="AD12" s="64">
        <f>AB12/S12</f>
        <v/>
      </c>
    </row>
    <row r="13" ht="15" customHeight="1" s="47">
      <c r="A13" s="62" t="n">
        <v>5</v>
      </c>
      <c r="B13" s="63">
        <f>A13*0.5</f>
        <v/>
      </c>
      <c r="C13" s="63">
        <f>IF(B13&lt;=Dados!$C$5,B13,2*Dados!$C$5-B13)</f>
        <v/>
      </c>
      <c r="D13" s="64">
        <f>IF(C13&lt;=Dados!$C$47,Dados!$C$44-Dados!$C$53*(C13-Dados!$C$52)^2,-Dados!$C$45+Dados!$C$54*(Dados!$C$5-C13)^2)</f>
        <v/>
      </c>
      <c r="E13" s="65">
        <f>IF(B13&lt;=Dados!$C$5,1,-1)*IF(C13&lt;=Dados!$C$47,-2*Dados!$C$53*(C13-Dados!$C$52),-2*Dados!$C$54*(Dados!$C$5-C13))</f>
        <v/>
      </c>
      <c r="F13" s="65">
        <f>ATAN(E13)</f>
        <v/>
      </c>
      <c r="G13" s="65">
        <f>COS(F13)</f>
        <v/>
      </c>
      <c r="H13" s="65">
        <f>SIN(F13)</f>
        <v/>
      </c>
      <c r="I13" s="65">
        <f>ABS(F13-F12)</f>
        <v/>
      </c>
      <c r="J13" s="65">
        <f>J12+I13</f>
        <v/>
      </c>
      <c r="K13" s="64">
        <f>SQRT((B13-B12)^2+(D13-D12)^2)</f>
        <v/>
      </c>
      <c r="L13" s="66">
        <f>L12+K13</f>
        <v/>
      </c>
      <c r="M13" s="63">
        <f>Dados!$C$67*EXP(-Dados!$C$70*J13-Dados!$C$71*L13)</f>
        <v/>
      </c>
      <c r="N13" s="67">
        <f>N12+0.5*(M13+M12)*(B13-B12)</f>
        <v/>
      </c>
      <c r="O13" s="65">
        <f>2*(N13-M13*B13)/Dados!$C$65</f>
        <v/>
      </c>
      <c r="P13" s="63">
        <f>IF(B13&lt;=Dados!$C$81,2*Dados!$C$82-M13,M13)</f>
        <v/>
      </c>
      <c r="Q13" s="67">
        <f>MAX(Dados!$C$77*(Dados!$C$59*(1/Dados!$C$8+D13^2/Dados!$C$9)*P13-Esforcos!D13*D13/Dados!$C$9/1000)/(1+Dados!$C$77*Dados!$C$59*(1/Dados!$C$8+D13^2/Dados!$C$9)),0)</f>
        <v/>
      </c>
      <c r="R13" s="63">
        <f>P13-Q13</f>
        <v/>
      </c>
      <c r="S13" s="63">
        <f>Dados!$C$59*R13*1000</f>
        <v/>
      </c>
      <c r="T13" s="66">
        <f>(-S13/Dados!$C$8-S13*D13^2/Dados!$C$9+Esforcos!D13*D13/Dados!$C$9)/1000</f>
        <v/>
      </c>
      <c r="U13" s="64">
        <f>R13/Dados!$C$60</f>
        <v/>
      </c>
      <c r="V13" s="65">
        <f>IF(U13&lt;=0.5,0,IF(U13&lt;=0.6,(U13-0.5)/0.1*1.3,IF(U13&lt;=0.7,1.3+(U13-0.6)/0.1*1.2,IF(U13&lt;=0.8,2.5+(U13-0.7)/0.1*1,3.5))))/100</f>
        <v/>
      </c>
      <c r="W13" s="65">
        <f>2.5*V13</f>
        <v/>
      </c>
      <c r="X13" s="65">
        <f>-LN(1-W13)</f>
        <v/>
      </c>
      <c r="Y13" s="64">
        <f>1+D13^2*Dados!$C$8/Dados!$C$9</f>
        <v/>
      </c>
      <c r="Z13" s="63">
        <f>(ABS(Dados!$C$74)*Dados!$C$65+Dados!$C$76*ABS(T13)*Dados!$C$73+R13*X13)/((1+X13)+(1+0.5*Dados!$C$73)*Dados!$C$76*Y13*Dados!$C$78)</f>
        <v/>
      </c>
      <c r="AA13" s="63">
        <f>R13-Z13</f>
        <v/>
      </c>
      <c r="AB13" s="63">
        <f>Dados!$C$59*AA13*1000</f>
        <v/>
      </c>
      <c r="AC13" s="64">
        <f>S13/Dados!$C$68</f>
        <v/>
      </c>
      <c r="AD13" s="64">
        <f>AB13/S13</f>
        <v/>
      </c>
    </row>
    <row r="14" ht="15" customHeight="1" s="47">
      <c r="A14" s="62" t="n">
        <v>6</v>
      </c>
      <c r="B14" s="63">
        <f>A14*0.5</f>
        <v/>
      </c>
      <c r="C14" s="63">
        <f>IF(B14&lt;=Dados!$C$5,B14,2*Dados!$C$5-B14)</f>
        <v/>
      </c>
      <c r="D14" s="64">
        <f>IF(C14&lt;=Dados!$C$47,Dados!$C$44-Dados!$C$53*(C14-Dados!$C$52)^2,-Dados!$C$45+Dados!$C$54*(Dados!$C$5-C14)^2)</f>
        <v/>
      </c>
      <c r="E14" s="65">
        <f>IF(B14&lt;=Dados!$C$5,1,-1)*IF(C14&lt;=Dados!$C$47,-2*Dados!$C$53*(C14-Dados!$C$52),-2*Dados!$C$54*(Dados!$C$5-C14))</f>
        <v/>
      </c>
      <c r="F14" s="65">
        <f>ATAN(E14)</f>
        <v/>
      </c>
      <c r="G14" s="65">
        <f>COS(F14)</f>
        <v/>
      </c>
      <c r="H14" s="65">
        <f>SIN(F14)</f>
        <v/>
      </c>
      <c r="I14" s="65">
        <f>ABS(F14-F13)</f>
        <v/>
      </c>
      <c r="J14" s="65">
        <f>J13+I14</f>
        <v/>
      </c>
      <c r="K14" s="64">
        <f>SQRT((B14-B13)^2+(D14-D13)^2)</f>
        <v/>
      </c>
      <c r="L14" s="66">
        <f>L13+K14</f>
        <v/>
      </c>
      <c r="M14" s="63">
        <f>Dados!$C$67*EXP(-Dados!$C$70*J14-Dados!$C$71*L14)</f>
        <v/>
      </c>
      <c r="N14" s="67">
        <f>N13+0.5*(M14+M13)*(B14-B13)</f>
        <v/>
      </c>
      <c r="O14" s="65">
        <f>2*(N14-M14*B14)/Dados!$C$65</f>
        <v/>
      </c>
      <c r="P14" s="63">
        <f>IF(B14&lt;=Dados!$C$81,2*Dados!$C$82-M14,M14)</f>
        <v/>
      </c>
      <c r="Q14" s="67">
        <f>MAX(Dados!$C$77*(Dados!$C$59*(1/Dados!$C$8+D14^2/Dados!$C$9)*P14-Esforcos!D14*D14/Dados!$C$9/1000)/(1+Dados!$C$77*Dados!$C$59*(1/Dados!$C$8+D14^2/Dados!$C$9)),0)</f>
        <v/>
      </c>
      <c r="R14" s="63">
        <f>P14-Q14</f>
        <v/>
      </c>
      <c r="S14" s="63">
        <f>Dados!$C$59*R14*1000</f>
        <v/>
      </c>
      <c r="T14" s="66">
        <f>(-S14/Dados!$C$8-S14*D14^2/Dados!$C$9+Esforcos!D14*D14/Dados!$C$9)/1000</f>
        <v/>
      </c>
      <c r="U14" s="64">
        <f>R14/Dados!$C$60</f>
        <v/>
      </c>
      <c r="V14" s="65">
        <f>IF(U14&lt;=0.5,0,IF(U14&lt;=0.6,(U14-0.5)/0.1*1.3,IF(U14&lt;=0.7,1.3+(U14-0.6)/0.1*1.2,IF(U14&lt;=0.8,2.5+(U14-0.7)/0.1*1,3.5))))/100</f>
        <v/>
      </c>
      <c r="W14" s="65">
        <f>2.5*V14</f>
        <v/>
      </c>
      <c r="X14" s="65">
        <f>-LN(1-W14)</f>
        <v/>
      </c>
      <c r="Y14" s="64">
        <f>1+D14^2*Dados!$C$8/Dados!$C$9</f>
        <v/>
      </c>
      <c r="Z14" s="63">
        <f>(ABS(Dados!$C$74)*Dados!$C$65+Dados!$C$76*ABS(T14)*Dados!$C$73+R14*X14)/((1+X14)+(1+0.5*Dados!$C$73)*Dados!$C$76*Y14*Dados!$C$78)</f>
        <v/>
      </c>
      <c r="AA14" s="63">
        <f>R14-Z14</f>
        <v/>
      </c>
      <c r="AB14" s="63">
        <f>Dados!$C$59*AA14*1000</f>
        <v/>
      </c>
      <c r="AC14" s="64">
        <f>S14/Dados!$C$68</f>
        <v/>
      </c>
      <c r="AD14" s="64">
        <f>AB14/S14</f>
        <v/>
      </c>
    </row>
    <row r="15" ht="15" customHeight="1" s="47">
      <c r="A15" s="62" t="n">
        <v>7</v>
      </c>
      <c r="B15" s="63">
        <f>A15*0.5</f>
        <v/>
      </c>
      <c r="C15" s="63">
        <f>IF(B15&lt;=Dados!$C$5,B15,2*Dados!$C$5-B15)</f>
        <v/>
      </c>
      <c r="D15" s="64">
        <f>IF(C15&lt;=Dados!$C$47,Dados!$C$44-Dados!$C$53*(C15-Dados!$C$52)^2,-Dados!$C$45+Dados!$C$54*(Dados!$C$5-C15)^2)</f>
        <v/>
      </c>
      <c r="E15" s="65">
        <f>IF(B15&lt;=Dados!$C$5,1,-1)*IF(C15&lt;=Dados!$C$47,-2*Dados!$C$53*(C15-Dados!$C$52),-2*Dados!$C$54*(Dados!$C$5-C15))</f>
        <v/>
      </c>
      <c r="F15" s="65">
        <f>ATAN(E15)</f>
        <v/>
      </c>
      <c r="G15" s="65">
        <f>COS(F15)</f>
        <v/>
      </c>
      <c r="H15" s="65">
        <f>SIN(F15)</f>
        <v/>
      </c>
      <c r="I15" s="65">
        <f>ABS(F15-F14)</f>
        <v/>
      </c>
      <c r="J15" s="65">
        <f>J14+I15</f>
        <v/>
      </c>
      <c r="K15" s="64">
        <f>SQRT((B15-B14)^2+(D15-D14)^2)</f>
        <v/>
      </c>
      <c r="L15" s="66">
        <f>L14+K15</f>
        <v/>
      </c>
      <c r="M15" s="63">
        <f>Dados!$C$67*EXP(-Dados!$C$70*J15-Dados!$C$71*L15)</f>
        <v/>
      </c>
      <c r="N15" s="67">
        <f>N14+0.5*(M15+M14)*(B15-B14)</f>
        <v/>
      </c>
      <c r="O15" s="65">
        <f>2*(N15-M15*B15)/Dados!$C$65</f>
        <v/>
      </c>
      <c r="P15" s="63">
        <f>IF(B15&lt;=Dados!$C$81,2*Dados!$C$82-M15,M15)</f>
        <v/>
      </c>
      <c r="Q15" s="67">
        <f>MAX(Dados!$C$77*(Dados!$C$59*(1/Dados!$C$8+D15^2/Dados!$C$9)*P15-Esforcos!D15*D15/Dados!$C$9/1000)/(1+Dados!$C$77*Dados!$C$59*(1/Dados!$C$8+D15^2/Dados!$C$9)),0)</f>
        <v/>
      </c>
      <c r="R15" s="63">
        <f>P15-Q15</f>
        <v/>
      </c>
      <c r="S15" s="63">
        <f>Dados!$C$59*R15*1000</f>
        <v/>
      </c>
      <c r="T15" s="66">
        <f>(-S15/Dados!$C$8-S15*D15^2/Dados!$C$9+Esforcos!D15*D15/Dados!$C$9)/1000</f>
        <v/>
      </c>
      <c r="U15" s="64">
        <f>R15/Dados!$C$60</f>
        <v/>
      </c>
      <c r="V15" s="65">
        <f>IF(U15&lt;=0.5,0,IF(U15&lt;=0.6,(U15-0.5)/0.1*1.3,IF(U15&lt;=0.7,1.3+(U15-0.6)/0.1*1.2,IF(U15&lt;=0.8,2.5+(U15-0.7)/0.1*1,3.5))))/100</f>
        <v/>
      </c>
      <c r="W15" s="65">
        <f>2.5*V15</f>
        <v/>
      </c>
      <c r="X15" s="65">
        <f>-LN(1-W15)</f>
        <v/>
      </c>
      <c r="Y15" s="64">
        <f>1+D15^2*Dados!$C$8/Dados!$C$9</f>
        <v/>
      </c>
      <c r="Z15" s="63">
        <f>(ABS(Dados!$C$74)*Dados!$C$65+Dados!$C$76*ABS(T15)*Dados!$C$73+R15*X15)/((1+X15)+(1+0.5*Dados!$C$73)*Dados!$C$76*Y15*Dados!$C$78)</f>
        <v/>
      </c>
      <c r="AA15" s="63">
        <f>R15-Z15</f>
        <v/>
      </c>
      <c r="AB15" s="63">
        <f>Dados!$C$59*AA15*1000</f>
        <v/>
      </c>
      <c r="AC15" s="64">
        <f>S15/Dados!$C$68</f>
        <v/>
      </c>
      <c r="AD15" s="64">
        <f>AB15/S15</f>
        <v/>
      </c>
    </row>
    <row r="16" ht="15" customHeight="1" s="47">
      <c r="A16" s="62" t="n">
        <v>8</v>
      </c>
      <c r="B16" s="63">
        <f>A16*0.5</f>
        <v/>
      </c>
      <c r="C16" s="63">
        <f>IF(B16&lt;=Dados!$C$5,B16,2*Dados!$C$5-B16)</f>
        <v/>
      </c>
      <c r="D16" s="64">
        <f>IF(C16&lt;=Dados!$C$47,Dados!$C$44-Dados!$C$53*(C16-Dados!$C$52)^2,-Dados!$C$45+Dados!$C$54*(Dados!$C$5-C16)^2)</f>
        <v/>
      </c>
      <c r="E16" s="65">
        <f>IF(B16&lt;=Dados!$C$5,1,-1)*IF(C16&lt;=Dados!$C$47,-2*Dados!$C$53*(C16-Dados!$C$52),-2*Dados!$C$54*(Dados!$C$5-C16))</f>
        <v/>
      </c>
      <c r="F16" s="65">
        <f>ATAN(E16)</f>
        <v/>
      </c>
      <c r="G16" s="65">
        <f>COS(F16)</f>
        <v/>
      </c>
      <c r="H16" s="65">
        <f>SIN(F16)</f>
        <v/>
      </c>
      <c r="I16" s="65">
        <f>ABS(F16-F15)</f>
        <v/>
      </c>
      <c r="J16" s="65">
        <f>J15+I16</f>
        <v/>
      </c>
      <c r="K16" s="64">
        <f>SQRT((B16-B15)^2+(D16-D15)^2)</f>
        <v/>
      </c>
      <c r="L16" s="66">
        <f>L15+K16</f>
        <v/>
      </c>
      <c r="M16" s="63">
        <f>Dados!$C$67*EXP(-Dados!$C$70*J16-Dados!$C$71*L16)</f>
        <v/>
      </c>
      <c r="N16" s="67">
        <f>N15+0.5*(M16+M15)*(B16-B15)</f>
        <v/>
      </c>
      <c r="O16" s="65">
        <f>2*(N16-M16*B16)/Dados!$C$65</f>
        <v/>
      </c>
      <c r="P16" s="63">
        <f>IF(B16&lt;=Dados!$C$81,2*Dados!$C$82-M16,M16)</f>
        <v/>
      </c>
      <c r="Q16" s="67">
        <f>MAX(Dados!$C$77*(Dados!$C$59*(1/Dados!$C$8+D16^2/Dados!$C$9)*P16-Esforcos!D16*D16/Dados!$C$9/1000)/(1+Dados!$C$77*Dados!$C$59*(1/Dados!$C$8+D16^2/Dados!$C$9)),0)</f>
        <v/>
      </c>
      <c r="R16" s="63">
        <f>P16-Q16</f>
        <v/>
      </c>
      <c r="S16" s="63">
        <f>Dados!$C$59*R16*1000</f>
        <v/>
      </c>
      <c r="T16" s="66">
        <f>(-S16/Dados!$C$8-S16*D16^2/Dados!$C$9+Esforcos!D16*D16/Dados!$C$9)/1000</f>
        <v/>
      </c>
      <c r="U16" s="64">
        <f>R16/Dados!$C$60</f>
        <v/>
      </c>
      <c r="V16" s="65">
        <f>IF(U16&lt;=0.5,0,IF(U16&lt;=0.6,(U16-0.5)/0.1*1.3,IF(U16&lt;=0.7,1.3+(U16-0.6)/0.1*1.2,IF(U16&lt;=0.8,2.5+(U16-0.7)/0.1*1,3.5))))/100</f>
        <v/>
      </c>
      <c r="W16" s="65">
        <f>2.5*V16</f>
        <v/>
      </c>
      <c r="X16" s="65">
        <f>-LN(1-W16)</f>
        <v/>
      </c>
      <c r="Y16" s="64">
        <f>1+D16^2*Dados!$C$8/Dados!$C$9</f>
        <v/>
      </c>
      <c r="Z16" s="63">
        <f>(ABS(Dados!$C$74)*Dados!$C$65+Dados!$C$76*ABS(T16)*Dados!$C$73+R16*X16)/((1+X16)+(1+0.5*Dados!$C$73)*Dados!$C$76*Y16*Dados!$C$78)</f>
        <v/>
      </c>
      <c r="AA16" s="63">
        <f>R16-Z16</f>
        <v/>
      </c>
      <c r="AB16" s="63">
        <f>Dados!$C$59*AA16*1000</f>
        <v/>
      </c>
      <c r="AC16" s="64">
        <f>S16/Dados!$C$68</f>
        <v/>
      </c>
      <c r="AD16" s="64">
        <f>AB16/S16</f>
        <v/>
      </c>
    </row>
    <row r="17" ht="15" customHeight="1" s="47">
      <c r="A17" s="62" t="n">
        <v>9</v>
      </c>
      <c r="B17" s="63">
        <f>A17*0.5</f>
        <v/>
      </c>
      <c r="C17" s="63">
        <f>IF(B17&lt;=Dados!$C$5,B17,2*Dados!$C$5-B17)</f>
        <v/>
      </c>
      <c r="D17" s="64">
        <f>IF(C17&lt;=Dados!$C$47,Dados!$C$44-Dados!$C$53*(C17-Dados!$C$52)^2,-Dados!$C$45+Dados!$C$54*(Dados!$C$5-C17)^2)</f>
        <v/>
      </c>
      <c r="E17" s="65">
        <f>IF(B17&lt;=Dados!$C$5,1,-1)*IF(C17&lt;=Dados!$C$47,-2*Dados!$C$53*(C17-Dados!$C$52),-2*Dados!$C$54*(Dados!$C$5-C17))</f>
        <v/>
      </c>
      <c r="F17" s="65">
        <f>ATAN(E17)</f>
        <v/>
      </c>
      <c r="G17" s="65">
        <f>COS(F17)</f>
        <v/>
      </c>
      <c r="H17" s="65">
        <f>SIN(F17)</f>
        <v/>
      </c>
      <c r="I17" s="65">
        <f>ABS(F17-F16)</f>
        <v/>
      </c>
      <c r="J17" s="65">
        <f>J16+I17</f>
        <v/>
      </c>
      <c r="K17" s="64">
        <f>SQRT((B17-B16)^2+(D17-D16)^2)</f>
        <v/>
      </c>
      <c r="L17" s="66">
        <f>L16+K17</f>
        <v/>
      </c>
      <c r="M17" s="63">
        <f>Dados!$C$67*EXP(-Dados!$C$70*J17-Dados!$C$71*L17)</f>
        <v/>
      </c>
      <c r="N17" s="67">
        <f>N16+0.5*(M17+M16)*(B17-B16)</f>
        <v/>
      </c>
      <c r="O17" s="65">
        <f>2*(N17-M17*B17)/Dados!$C$65</f>
        <v/>
      </c>
      <c r="P17" s="63">
        <f>IF(B17&lt;=Dados!$C$81,2*Dados!$C$82-M17,M17)</f>
        <v/>
      </c>
      <c r="Q17" s="67">
        <f>MAX(Dados!$C$77*(Dados!$C$59*(1/Dados!$C$8+D17^2/Dados!$C$9)*P17-Esforcos!D17*D17/Dados!$C$9/1000)/(1+Dados!$C$77*Dados!$C$59*(1/Dados!$C$8+D17^2/Dados!$C$9)),0)</f>
        <v/>
      </c>
      <c r="R17" s="63">
        <f>P17-Q17</f>
        <v/>
      </c>
      <c r="S17" s="63">
        <f>Dados!$C$59*R17*1000</f>
        <v/>
      </c>
      <c r="T17" s="66">
        <f>(-S17/Dados!$C$8-S17*D17^2/Dados!$C$9+Esforcos!D17*D17/Dados!$C$9)/1000</f>
        <v/>
      </c>
      <c r="U17" s="64">
        <f>R17/Dados!$C$60</f>
        <v/>
      </c>
      <c r="V17" s="65">
        <f>IF(U17&lt;=0.5,0,IF(U17&lt;=0.6,(U17-0.5)/0.1*1.3,IF(U17&lt;=0.7,1.3+(U17-0.6)/0.1*1.2,IF(U17&lt;=0.8,2.5+(U17-0.7)/0.1*1,3.5))))/100</f>
        <v/>
      </c>
      <c r="W17" s="65">
        <f>2.5*V17</f>
        <v/>
      </c>
      <c r="X17" s="65">
        <f>-LN(1-W17)</f>
        <v/>
      </c>
      <c r="Y17" s="64">
        <f>1+D17^2*Dados!$C$8/Dados!$C$9</f>
        <v/>
      </c>
      <c r="Z17" s="63">
        <f>(ABS(Dados!$C$74)*Dados!$C$65+Dados!$C$76*ABS(T17)*Dados!$C$73+R17*X17)/((1+X17)+(1+0.5*Dados!$C$73)*Dados!$C$76*Y17*Dados!$C$78)</f>
        <v/>
      </c>
      <c r="AA17" s="63">
        <f>R17-Z17</f>
        <v/>
      </c>
      <c r="AB17" s="63">
        <f>Dados!$C$59*AA17*1000</f>
        <v/>
      </c>
      <c r="AC17" s="64">
        <f>S17/Dados!$C$68</f>
        <v/>
      </c>
      <c r="AD17" s="64">
        <f>AB17/S17</f>
        <v/>
      </c>
    </row>
    <row r="18" ht="15" customHeight="1" s="47">
      <c r="A18" s="62" t="n">
        <v>10</v>
      </c>
      <c r="B18" s="63">
        <f>A18*0.5</f>
        <v/>
      </c>
      <c r="C18" s="63">
        <f>IF(B18&lt;=Dados!$C$5,B18,2*Dados!$C$5-B18)</f>
        <v/>
      </c>
      <c r="D18" s="64">
        <f>IF(C18&lt;=Dados!$C$47,Dados!$C$44-Dados!$C$53*(C18-Dados!$C$52)^2,-Dados!$C$45+Dados!$C$54*(Dados!$C$5-C18)^2)</f>
        <v/>
      </c>
      <c r="E18" s="65">
        <f>IF(B18&lt;=Dados!$C$5,1,-1)*IF(C18&lt;=Dados!$C$47,-2*Dados!$C$53*(C18-Dados!$C$52),-2*Dados!$C$54*(Dados!$C$5-C18))</f>
        <v/>
      </c>
      <c r="F18" s="65">
        <f>ATAN(E18)</f>
        <v/>
      </c>
      <c r="G18" s="65">
        <f>COS(F18)</f>
        <v/>
      </c>
      <c r="H18" s="65">
        <f>SIN(F18)</f>
        <v/>
      </c>
      <c r="I18" s="65">
        <f>ABS(F18-F17)</f>
        <v/>
      </c>
      <c r="J18" s="65">
        <f>J17+I18</f>
        <v/>
      </c>
      <c r="K18" s="64">
        <f>SQRT((B18-B17)^2+(D18-D17)^2)</f>
        <v/>
      </c>
      <c r="L18" s="66">
        <f>L17+K18</f>
        <v/>
      </c>
      <c r="M18" s="63">
        <f>Dados!$C$67*EXP(-Dados!$C$70*J18-Dados!$C$71*L18)</f>
        <v/>
      </c>
      <c r="N18" s="67">
        <f>N17+0.5*(M18+M17)*(B18-B17)</f>
        <v/>
      </c>
      <c r="O18" s="65">
        <f>2*(N18-M18*B18)/Dados!$C$65</f>
        <v/>
      </c>
      <c r="P18" s="63">
        <f>IF(B18&lt;=Dados!$C$81,2*Dados!$C$82-M18,M18)</f>
        <v/>
      </c>
      <c r="Q18" s="67">
        <f>MAX(Dados!$C$77*(Dados!$C$59*(1/Dados!$C$8+D18^2/Dados!$C$9)*P18-Esforcos!D18*D18/Dados!$C$9/1000)/(1+Dados!$C$77*Dados!$C$59*(1/Dados!$C$8+D18^2/Dados!$C$9)),0)</f>
        <v/>
      </c>
      <c r="R18" s="63">
        <f>P18-Q18</f>
        <v/>
      </c>
      <c r="S18" s="63">
        <f>Dados!$C$59*R18*1000</f>
        <v/>
      </c>
      <c r="T18" s="66">
        <f>(-S18/Dados!$C$8-S18*D18^2/Dados!$C$9+Esforcos!D18*D18/Dados!$C$9)/1000</f>
        <v/>
      </c>
      <c r="U18" s="64">
        <f>R18/Dados!$C$60</f>
        <v/>
      </c>
      <c r="V18" s="65">
        <f>IF(U18&lt;=0.5,0,IF(U18&lt;=0.6,(U18-0.5)/0.1*1.3,IF(U18&lt;=0.7,1.3+(U18-0.6)/0.1*1.2,IF(U18&lt;=0.8,2.5+(U18-0.7)/0.1*1,3.5))))/100</f>
        <v/>
      </c>
      <c r="W18" s="65">
        <f>2.5*V18</f>
        <v/>
      </c>
      <c r="X18" s="65">
        <f>-LN(1-W18)</f>
        <v/>
      </c>
      <c r="Y18" s="64">
        <f>1+D18^2*Dados!$C$8/Dados!$C$9</f>
        <v/>
      </c>
      <c r="Z18" s="63">
        <f>(ABS(Dados!$C$74)*Dados!$C$65+Dados!$C$76*ABS(T18)*Dados!$C$73+R18*X18)/((1+X18)+(1+0.5*Dados!$C$73)*Dados!$C$76*Y18*Dados!$C$78)</f>
        <v/>
      </c>
      <c r="AA18" s="63">
        <f>R18-Z18</f>
        <v/>
      </c>
      <c r="AB18" s="63">
        <f>Dados!$C$59*AA18*1000</f>
        <v/>
      </c>
      <c r="AC18" s="64">
        <f>S18/Dados!$C$68</f>
        <v/>
      </c>
      <c r="AD18" s="64">
        <f>AB18/S18</f>
        <v/>
      </c>
    </row>
    <row r="19" ht="15" customHeight="1" s="47">
      <c r="A19" s="62" t="n">
        <v>11</v>
      </c>
      <c r="B19" s="63">
        <f>A19*0.5</f>
        <v/>
      </c>
      <c r="C19" s="63">
        <f>IF(B19&lt;=Dados!$C$5,B19,2*Dados!$C$5-B19)</f>
        <v/>
      </c>
      <c r="D19" s="64">
        <f>IF(C19&lt;=Dados!$C$47,Dados!$C$44-Dados!$C$53*(C19-Dados!$C$52)^2,-Dados!$C$45+Dados!$C$54*(Dados!$C$5-C19)^2)</f>
        <v/>
      </c>
      <c r="E19" s="65">
        <f>IF(B19&lt;=Dados!$C$5,1,-1)*IF(C19&lt;=Dados!$C$47,-2*Dados!$C$53*(C19-Dados!$C$52),-2*Dados!$C$54*(Dados!$C$5-C19))</f>
        <v/>
      </c>
      <c r="F19" s="65">
        <f>ATAN(E19)</f>
        <v/>
      </c>
      <c r="G19" s="65">
        <f>COS(F19)</f>
        <v/>
      </c>
      <c r="H19" s="65">
        <f>SIN(F19)</f>
        <v/>
      </c>
      <c r="I19" s="65">
        <f>ABS(F19-F18)</f>
        <v/>
      </c>
      <c r="J19" s="65">
        <f>J18+I19</f>
        <v/>
      </c>
      <c r="K19" s="64">
        <f>SQRT((B19-B18)^2+(D19-D18)^2)</f>
        <v/>
      </c>
      <c r="L19" s="66">
        <f>L18+K19</f>
        <v/>
      </c>
      <c r="M19" s="63">
        <f>Dados!$C$67*EXP(-Dados!$C$70*J19-Dados!$C$71*L19)</f>
        <v/>
      </c>
      <c r="N19" s="67">
        <f>N18+0.5*(M19+M18)*(B19-B18)</f>
        <v/>
      </c>
      <c r="O19" s="65">
        <f>2*(N19-M19*B19)/Dados!$C$65</f>
        <v/>
      </c>
      <c r="P19" s="63">
        <f>IF(B19&lt;=Dados!$C$81,2*Dados!$C$82-M19,M19)</f>
        <v/>
      </c>
      <c r="Q19" s="67">
        <f>MAX(Dados!$C$77*(Dados!$C$59*(1/Dados!$C$8+D19^2/Dados!$C$9)*P19-Esforcos!D19*D19/Dados!$C$9/1000)/(1+Dados!$C$77*Dados!$C$59*(1/Dados!$C$8+D19^2/Dados!$C$9)),0)</f>
        <v/>
      </c>
      <c r="R19" s="63">
        <f>P19-Q19</f>
        <v/>
      </c>
      <c r="S19" s="63">
        <f>Dados!$C$59*R19*1000</f>
        <v/>
      </c>
      <c r="T19" s="66">
        <f>(-S19/Dados!$C$8-S19*D19^2/Dados!$C$9+Esforcos!D19*D19/Dados!$C$9)/1000</f>
        <v/>
      </c>
      <c r="U19" s="64">
        <f>R19/Dados!$C$60</f>
        <v/>
      </c>
      <c r="V19" s="65">
        <f>IF(U19&lt;=0.5,0,IF(U19&lt;=0.6,(U19-0.5)/0.1*1.3,IF(U19&lt;=0.7,1.3+(U19-0.6)/0.1*1.2,IF(U19&lt;=0.8,2.5+(U19-0.7)/0.1*1,3.5))))/100</f>
        <v/>
      </c>
      <c r="W19" s="65">
        <f>2.5*V19</f>
        <v/>
      </c>
      <c r="X19" s="65">
        <f>-LN(1-W19)</f>
        <v/>
      </c>
      <c r="Y19" s="64">
        <f>1+D19^2*Dados!$C$8/Dados!$C$9</f>
        <v/>
      </c>
      <c r="Z19" s="63">
        <f>(ABS(Dados!$C$74)*Dados!$C$65+Dados!$C$76*ABS(T19)*Dados!$C$73+R19*X19)/((1+X19)+(1+0.5*Dados!$C$73)*Dados!$C$76*Y19*Dados!$C$78)</f>
        <v/>
      </c>
      <c r="AA19" s="63">
        <f>R19-Z19</f>
        <v/>
      </c>
      <c r="AB19" s="63">
        <f>Dados!$C$59*AA19*1000</f>
        <v/>
      </c>
      <c r="AC19" s="64">
        <f>S19/Dados!$C$68</f>
        <v/>
      </c>
      <c r="AD19" s="64">
        <f>AB19/S19</f>
        <v/>
      </c>
    </row>
    <row r="20" ht="15" customHeight="1" s="47">
      <c r="A20" s="62" t="n">
        <v>12</v>
      </c>
      <c r="B20" s="63">
        <f>A20*0.5</f>
        <v/>
      </c>
      <c r="C20" s="63">
        <f>IF(B20&lt;=Dados!$C$5,B20,2*Dados!$C$5-B20)</f>
        <v/>
      </c>
      <c r="D20" s="64">
        <f>IF(C20&lt;=Dados!$C$47,Dados!$C$44-Dados!$C$53*(C20-Dados!$C$52)^2,-Dados!$C$45+Dados!$C$54*(Dados!$C$5-C20)^2)</f>
        <v/>
      </c>
      <c r="E20" s="65">
        <f>IF(B20&lt;=Dados!$C$5,1,-1)*IF(C20&lt;=Dados!$C$47,-2*Dados!$C$53*(C20-Dados!$C$52),-2*Dados!$C$54*(Dados!$C$5-C20))</f>
        <v/>
      </c>
      <c r="F20" s="65">
        <f>ATAN(E20)</f>
        <v/>
      </c>
      <c r="G20" s="65">
        <f>COS(F20)</f>
        <v/>
      </c>
      <c r="H20" s="65">
        <f>SIN(F20)</f>
        <v/>
      </c>
      <c r="I20" s="65">
        <f>ABS(F20-F19)</f>
        <v/>
      </c>
      <c r="J20" s="65">
        <f>J19+I20</f>
        <v/>
      </c>
      <c r="K20" s="64">
        <f>SQRT((B20-B19)^2+(D20-D19)^2)</f>
        <v/>
      </c>
      <c r="L20" s="66">
        <f>L19+K20</f>
        <v/>
      </c>
      <c r="M20" s="63">
        <f>Dados!$C$67*EXP(-Dados!$C$70*J20-Dados!$C$71*L20)</f>
        <v/>
      </c>
      <c r="N20" s="67">
        <f>N19+0.5*(M20+M19)*(B20-B19)</f>
        <v/>
      </c>
      <c r="O20" s="65">
        <f>2*(N20-M20*B20)/Dados!$C$65</f>
        <v/>
      </c>
      <c r="P20" s="63">
        <f>IF(B20&lt;=Dados!$C$81,2*Dados!$C$82-M20,M20)</f>
        <v/>
      </c>
      <c r="Q20" s="67">
        <f>MAX(Dados!$C$77*(Dados!$C$59*(1/Dados!$C$8+D20^2/Dados!$C$9)*P20-Esforcos!D20*D20/Dados!$C$9/1000)/(1+Dados!$C$77*Dados!$C$59*(1/Dados!$C$8+D20^2/Dados!$C$9)),0)</f>
        <v/>
      </c>
      <c r="R20" s="63">
        <f>P20-Q20</f>
        <v/>
      </c>
      <c r="S20" s="63">
        <f>Dados!$C$59*R20*1000</f>
        <v/>
      </c>
      <c r="T20" s="66">
        <f>(-S20/Dados!$C$8-S20*D20^2/Dados!$C$9+Esforcos!D20*D20/Dados!$C$9)/1000</f>
        <v/>
      </c>
      <c r="U20" s="64">
        <f>R20/Dados!$C$60</f>
        <v/>
      </c>
      <c r="V20" s="65">
        <f>IF(U20&lt;=0.5,0,IF(U20&lt;=0.6,(U20-0.5)/0.1*1.3,IF(U20&lt;=0.7,1.3+(U20-0.6)/0.1*1.2,IF(U20&lt;=0.8,2.5+(U20-0.7)/0.1*1,3.5))))/100</f>
        <v/>
      </c>
      <c r="W20" s="65">
        <f>2.5*V20</f>
        <v/>
      </c>
      <c r="X20" s="65">
        <f>-LN(1-W20)</f>
        <v/>
      </c>
      <c r="Y20" s="64">
        <f>1+D20^2*Dados!$C$8/Dados!$C$9</f>
        <v/>
      </c>
      <c r="Z20" s="63">
        <f>(ABS(Dados!$C$74)*Dados!$C$65+Dados!$C$76*ABS(T20)*Dados!$C$73+R20*X20)/((1+X20)+(1+0.5*Dados!$C$73)*Dados!$C$76*Y20*Dados!$C$78)</f>
        <v/>
      </c>
      <c r="AA20" s="63">
        <f>R20-Z20</f>
        <v/>
      </c>
      <c r="AB20" s="63">
        <f>Dados!$C$59*AA20*1000</f>
        <v/>
      </c>
      <c r="AC20" s="64">
        <f>S20/Dados!$C$68</f>
        <v/>
      </c>
      <c r="AD20" s="64">
        <f>AB20/S20</f>
        <v/>
      </c>
    </row>
    <row r="21" ht="15" customHeight="1" s="47">
      <c r="A21" s="62" t="n">
        <v>13</v>
      </c>
      <c r="B21" s="63">
        <f>A21*0.5</f>
        <v/>
      </c>
      <c r="C21" s="63">
        <f>IF(B21&lt;=Dados!$C$5,B21,2*Dados!$C$5-B21)</f>
        <v/>
      </c>
      <c r="D21" s="64">
        <f>IF(C21&lt;=Dados!$C$47,Dados!$C$44-Dados!$C$53*(C21-Dados!$C$52)^2,-Dados!$C$45+Dados!$C$54*(Dados!$C$5-C21)^2)</f>
        <v/>
      </c>
      <c r="E21" s="65">
        <f>IF(B21&lt;=Dados!$C$5,1,-1)*IF(C21&lt;=Dados!$C$47,-2*Dados!$C$53*(C21-Dados!$C$52),-2*Dados!$C$54*(Dados!$C$5-C21))</f>
        <v/>
      </c>
      <c r="F21" s="65">
        <f>ATAN(E21)</f>
        <v/>
      </c>
      <c r="G21" s="65">
        <f>COS(F21)</f>
        <v/>
      </c>
      <c r="H21" s="65">
        <f>SIN(F21)</f>
        <v/>
      </c>
      <c r="I21" s="65">
        <f>ABS(F21-F20)</f>
        <v/>
      </c>
      <c r="J21" s="65">
        <f>J20+I21</f>
        <v/>
      </c>
      <c r="K21" s="64">
        <f>SQRT((B21-B20)^2+(D21-D20)^2)</f>
        <v/>
      </c>
      <c r="L21" s="66">
        <f>L20+K21</f>
        <v/>
      </c>
      <c r="M21" s="63">
        <f>Dados!$C$67*EXP(-Dados!$C$70*J21-Dados!$C$71*L21)</f>
        <v/>
      </c>
      <c r="N21" s="67">
        <f>N20+0.5*(M21+M20)*(B21-B20)</f>
        <v/>
      </c>
      <c r="O21" s="65">
        <f>2*(N21-M21*B21)/Dados!$C$65</f>
        <v/>
      </c>
      <c r="P21" s="63">
        <f>IF(B21&lt;=Dados!$C$81,2*Dados!$C$82-M21,M21)</f>
        <v/>
      </c>
      <c r="Q21" s="67">
        <f>MAX(Dados!$C$77*(Dados!$C$59*(1/Dados!$C$8+D21^2/Dados!$C$9)*P21-Esforcos!D21*D21/Dados!$C$9/1000)/(1+Dados!$C$77*Dados!$C$59*(1/Dados!$C$8+D21^2/Dados!$C$9)),0)</f>
        <v/>
      </c>
      <c r="R21" s="63">
        <f>P21-Q21</f>
        <v/>
      </c>
      <c r="S21" s="63">
        <f>Dados!$C$59*R21*1000</f>
        <v/>
      </c>
      <c r="T21" s="66">
        <f>(-S21/Dados!$C$8-S21*D21^2/Dados!$C$9+Esforcos!D21*D21/Dados!$C$9)/1000</f>
        <v/>
      </c>
      <c r="U21" s="64">
        <f>R21/Dados!$C$60</f>
        <v/>
      </c>
      <c r="V21" s="65">
        <f>IF(U21&lt;=0.5,0,IF(U21&lt;=0.6,(U21-0.5)/0.1*1.3,IF(U21&lt;=0.7,1.3+(U21-0.6)/0.1*1.2,IF(U21&lt;=0.8,2.5+(U21-0.7)/0.1*1,3.5))))/100</f>
        <v/>
      </c>
      <c r="W21" s="65">
        <f>2.5*V21</f>
        <v/>
      </c>
      <c r="X21" s="65">
        <f>-LN(1-W21)</f>
        <v/>
      </c>
      <c r="Y21" s="64">
        <f>1+D21^2*Dados!$C$8/Dados!$C$9</f>
        <v/>
      </c>
      <c r="Z21" s="63">
        <f>(ABS(Dados!$C$74)*Dados!$C$65+Dados!$C$76*ABS(T21)*Dados!$C$73+R21*X21)/((1+X21)+(1+0.5*Dados!$C$73)*Dados!$C$76*Y21*Dados!$C$78)</f>
        <v/>
      </c>
      <c r="AA21" s="63">
        <f>R21-Z21</f>
        <v/>
      </c>
      <c r="AB21" s="63">
        <f>Dados!$C$59*AA21*1000</f>
        <v/>
      </c>
      <c r="AC21" s="64">
        <f>S21/Dados!$C$68</f>
        <v/>
      </c>
      <c r="AD21" s="64">
        <f>AB21/S21</f>
        <v/>
      </c>
    </row>
    <row r="22" ht="15" customHeight="1" s="47">
      <c r="A22" s="62" t="n">
        <v>14</v>
      </c>
      <c r="B22" s="63">
        <f>A22*0.5</f>
        <v/>
      </c>
      <c r="C22" s="63">
        <f>IF(B22&lt;=Dados!$C$5,B22,2*Dados!$C$5-B22)</f>
        <v/>
      </c>
      <c r="D22" s="64">
        <f>IF(C22&lt;=Dados!$C$47,Dados!$C$44-Dados!$C$53*(C22-Dados!$C$52)^2,-Dados!$C$45+Dados!$C$54*(Dados!$C$5-C22)^2)</f>
        <v/>
      </c>
      <c r="E22" s="65">
        <f>IF(B22&lt;=Dados!$C$5,1,-1)*IF(C22&lt;=Dados!$C$47,-2*Dados!$C$53*(C22-Dados!$C$52),-2*Dados!$C$54*(Dados!$C$5-C22))</f>
        <v/>
      </c>
      <c r="F22" s="65">
        <f>ATAN(E22)</f>
        <v/>
      </c>
      <c r="G22" s="65">
        <f>COS(F22)</f>
        <v/>
      </c>
      <c r="H22" s="65">
        <f>SIN(F22)</f>
        <v/>
      </c>
      <c r="I22" s="65">
        <f>ABS(F22-F21)</f>
        <v/>
      </c>
      <c r="J22" s="65">
        <f>J21+I22</f>
        <v/>
      </c>
      <c r="K22" s="64">
        <f>SQRT((B22-B21)^2+(D22-D21)^2)</f>
        <v/>
      </c>
      <c r="L22" s="66">
        <f>L21+K22</f>
        <v/>
      </c>
      <c r="M22" s="63">
        <f>Dados!$C$67*EXP(-Dados!$C$70*J22-Dados!$C$71*L22)</f>
        <v/>
      </c>
      <c r="N22" s="67">
        <f>N21+0.5*(M22+M21)*(B22-B21)</f>
        <v/>
      </c>
      <c r="O22" s="65">
        <f>2*(N22-M22*B22)/Dados!$C$65</f>
        <v/>
      </c>
      <c r="P22" s="63">
        <f>IF(B22&lt;=Dados!$C$81,2*Dados!$C$82-M22,M22)</f>
        <v/>
      </c>
      <c r="Q22" s="67">
        <f>MAX(Dados!$C$77*(Dados!$C$59*(1/Dados!$C$8+D22^2/Dados!$C$9)*P22-Esforcos!D22*D22/Dados!$C$9/1000)/(1+Dados!$C$77*Dados!$C$59*(1/Dados!$C$8+D22^2/Dados!$C$9)),0)</f>
        <v/>
      </c>
      <c r="R22" s="63">
        <f>P22-Q22</f>
        <v/>
      </c>
      <c r="S22" s="63">
        <f>Dados!$C$59*R22*1000</f>
        <v/>
      </c>
      <c r="T22" s="66">
        <f>(-S22/Dados!$C$8-S22*D22^2/Dados!$C$9+Esforcos!D22*D22/Dados!$C$9)/1000</f>
        <v/>
      </c>
      <c r="U22" s="64">
        <f>R22/Dados!$C$60</f>
        <v/>
      </c>
      <c r="V22" s="65">
        <f>IF(U22&lt;=0.5,0,IF(U22&lt;=0.6,(U22-0.5)/0.1*1.3,IF(U22&lt;=0.7,1.3+(U22-0.6)/0.1*1.2,IF(U22&lt;=0.8,2.5+(U22-0.7)/0.1*1,3.5))))/100</f>
        <v/>
      </c>
      <c r="W22" s="65">
        <f>2.5*V22</f>
        <v/>
      </c>
      <c r="X22" s="65">
        <f>-LN(1-W22)</f>
        <v/>
      </c>
      <c r="Y22" s="64">
        <f>1+D22^2*Dados!$C$8/Dados!$C$9</f>
        <v/>
      </c>
      <c r="Z22" s="63">
        <f>(ABS(Dados!$C$74)*Dados!$C$65+Dados!$C$76*ABS(T22)*Dados!$C$73+R22*X22)/((1+X22)+(1+0.5*Dados!$C$73)*Dados!$C$76*Y22*Dados!$C$78)</f>
        <v/>
      </c>
      <c r="AA22" s="63">
        <f>R22-Z22</f>
        <v/>
      </c>
      <c r="AB22" s="63">
        <f>Dados!$C$59*AA22*1000</f>
        <v/>
      </c>
      <c r="AC22" s="64">
        <f>S22/Dados!$C$68</f>
        <v/>
      </c>
      <c r="AD22" s="64">
        <f>AB22/S22</f>
        <v/>
      </c>
    </row>
    <row r="23" ht="15" customHeight="1" s="47">
      <c r="A23" s="62" t="n">
        <v>15</v>
      </c>
      <c r="B23" s="63">
        <f>A23*0.5</f>
        <v/>
      </c>
      <c r="C23" s="63">
        <f>IF(B23&lt;=Dados!$C$5,B23,2*Dados!$C$5-B23)</f>
        <v/>
      </c>
      <c r="D23" s="64">
        <f>IF(C23&lt;=Dados!$C$47,Dados!$C$44-Dados!$C$53*(C23-Dados!$C$52)^2,-Dados!$C$45+Dados!$C$54*(Dados!$C$5-C23)^2)</f>
        <v/>
      </c>
      <c r="E23" s="65">
        <f>IF(B23&lt;=Dados!$C$5,1,-1)*IF(C23&lt;=Dados!$C$47,-2*Dados!$C$53*(C23-Dados!$C$52),-2*Dados!$C$54*(Dados!$C$5-C23))</f>
        <v/>
      </c>
      <c r="F23" s="65">
        <f>ATAN(E23)</f>
        <v/>
      </c>
      <c r="G23" s="65">
        <f>COS(F23)</f>
        <v/>
      </c>
      <c r="H23" s="65">
        <f>SIN(F23)</f>
        <v/>
      </c>
      <c r="I23" s="65">
        <f>ABS(F23-F22)</f>
        <v/>
      </c>
      <c r="J23" s="65">
        <f>J22+I23</f>
        <v/>
      </c>
      <c r="K23" s="64">
        <f>SQRT((B23-B22)^2+(D23-D22)^2)</f>
        <v/>
      </c>
      <c r="L23" s="66">
        <f>L22+K23</f>
        <v/>
      </c>
      <c r="M23" s="63">
        <f>Dados!$C$67*EXP(-Dados!$C$70*J23-Dados!$C$71*L23)</f>
        <v/>
      </c>
      <c r="N23" s="67">
        <f>N22+0.5*(M23+M22)*(B23-B22)</f>
        <v/>
      </c>
      <c r="O23" s="65">
        <f>2*(N23-M23*B23)/Dados!$C$65</f>
        <v/>
      </c>
      <c r="P23" s="63">
        <f>IF(B23&lt;=Dados!$C$81,2*Dados!$C$82-M23,M23)</f>
        <v/>
      </c>
      <c r="Q23" s="67">
        <f>MAX(Dados!$C$77*(Dados!$C$59*(1/Dados!$C$8+D23^2/Dados!$C$9)*P23-Esforcos!D23*D23/Dados!$C$9/1000)/(1+Dados!$C$77*Dados!$C$59*(1/Dados!$C$8+D23^2/Dados!$C$9)),0)</f>
        <v/>
      </c>
      <c r="R23" s="63">
        <f>P23-Q23</f>
        <v/>
      </c>
      <c r="S23" s="63">
        <f>Dados!$C$59*R23*1000</f>
        <v/>
      </c>
      <c r="T23" s="66">
        <f>(-S23/Dados!$C$8-S23*D23^2/Dados!$C$9+Esforcos!D23*D23/Dados!$C$9)/1000</f>
        <v/>
      </c>
      <c r="U23" s="64">
        <f>R23/Dados!$C$60</f>
        <v/>
      </c>
      <c r="V23" s="65">
        <f>IF(U23&lt;=0.5,0,IF(U23&lt;=0.6,(U23-0.5)/0.1*1.3,IF(U23&lt;=0.7,1.3+(U23-0.6)/0.1*1.2,IF(U23&lt;=0.8,2.5+(U23-0.7)/0.1*1,3.5))))/100</f>
        <v/>
      </c>
      <c r="W23" s="65">
        <f>2.5*V23</f>
        <v/>
      </c>
      <c r="X23" s="65">
        <f>-LN(1-W23)</f>
        <v/>
      </c>
      <c r="Y23" s="64">
        <f>1+D23^2*Dados!$C$8/Dados!$C$9</f>
        <v/>
      </c>
      <c r="Z23" s="63">
        <f>(ABS(Dados!$C$74)*Dados!$C$65+Dados!$C$76*ABS(T23)*Dados!$C$73+R23*X23)/((1+X23)+(1+0.5*Dados!$C$73)*Dados!$C$76*Y23*Dados!$C$78)</f>
        <v/>
      </c>
      <c r="AA23" s="63">
        <f>R23-Z23</f>
        <v/>
      </c>
      <c r="AB23" s="63">
        <f>Dados!$C$59*AA23*1000</f>
        <v/>
      </c>
      <c r="AC23" s="64">
        <f>S23/Dados!$C$68</f>
        <v/>
      </c>
      <c r="AD23" s="64">
        <f>AB23/S23</f>
        <v/>
      </c>
    </row>
    <row r="24" ht="15" customHeight="1" s="47">
      <c r="A24" s="62" t="n">
        <v>16</v>
      </c>
      <c r="B24" s="63">
        <f>A24*0.5</f>
        <v/>
      </c>
      <c r="C24" s="63">
        <f>IF(B24&lt;=Dados!$C$5,B24,2*Dados!$C$5-B24)</f>
        <v/>
      </c>
      <c r="D24" s="64">
        <f>IF(C24&lt;=Dados!$C$47,Dados!$C$44-Dados!$C$53*(C24-Dados!$C$52)^2,-Dados!$C$45+Dados!$C$54*(Dados!$C$5-C24)^2)</f>
        <v/>
      </c>
      <c r="E24" s="65">
        <f>IF(B24&lt;=Dados!$C$5,1,-1)*IF(C24&lt;=Dados!$C$47,-2*Dados!$C$53*(C24-Dados!$C$52),-2*Dados!$C$54*(Dados!$C$5-C24))</f>
        <v/>
      </c>
      <c r="F24" s="65">
        <f>ATAN(E24)</f>
        <v/>
      </c>
      <c r="G24" s="65">
        <f>COS(F24)</f>
        <v/>
      </c>
      <c r="H24" s="65">
        <f>SIN(F24)</f>
        <v/>
      </c>
      <c r="I24" s="65">
        <f>ABS(F24-F23)</f>
        <v/>
      </c>
      <c r="J24" s="65">
        <f>J23+I24</f>
        <v/>
      </c>
      <c r="K24" s="64">
        <f>SQRT((B24-B23)^2+(D24-D23)^2)</f>
        <v/>
      </c>
      <c r="L24" s="66">
        <f>L23+K24</f>
        <v/>
      </c>
      <c r="M24" s="63">
        <f>Dados!$C$67*EXP(-Dados!$C$70*J24-Dados!$C$71*L24)</f>
        <v/>
      </c>
      <c r="N24" s="67">
        <f>N23+0.5*(M24+M23)*(B24-B23)</f>
        <v/>
      </c>
      <c r="O24" s="65">
        <f>2*(N24-M24*B24)/Dados!$C$65</f>
        <v/>
      </c>
      <c r="P24" s="63">
        <f>IF(B24&lt;=Dados!$C$81,2*Dados!$C$82-M24,M24)</f>
        <v/>
      </c>
      <c r="Q24" s="67">
        <f>MAX(Dados!$C$77*(Dados!$C$59*(1/Dados!$C$8+D24^2/Dados!$C$9)*P24-Esforcos!D24*D24/Dados!$C$9/1000)/(1+Dados!$C$77*Dados!$C$59*(1/Dados!$C$8+D24^2/Dados!$C$9)),0)</f>
        <v/>
      </c>
      <c r="R24" s="63">
        <f>P24-Q24</f>
        <v/>
      </c>
      <c r="S24" s="63">
        <f>Dados!$C$59*R24*1000</f>
        <v/>
      </c>
      <c r="T24" s="66">
        <f>(-S24/Dados!$C$8-S24*D24^2/Dados!$C$9+Esforcos!D24*D24/Dados!$C$9)/1000</f>
        <v/>
      </c>
      <c r="U24" s="64">
        <f>R24/Dados!$C$60</f>
        <v/>
      </c>
      <c r="V24" s="65">
        <f>IF(U24&lt;=0.5,0,IF(U24&lt;=0.6,(U24-0.5)/0.1*1.3,IF(U24&lt;=0.7,1.3+(U24-0.6)/0.1*1.2,IF(U24&lt;=0.8,2.5+(U24-0.7)/0.1*1,3.5))))/100</f>
        <v/>
      </c>
      <c r="W24" s="65">
        <f>2.5*V24</f>
        <v/>
      </c>
      <c r="X24" s="65">
        <f>-LN(1-W24)</f>
        <v/>
      </c>
      <c r="Y24" s="64">
        <f>1+D24^2*Dados!$C$8/Dados!$C$9</f>
        <v/>
      </c>
      <c r="Z24" s="63">
        <f>(ABS(Dados!$C$74)*Dados!$C$65+Dados!$C$76*ABS(T24)*Dados!$C$73+R24*X24)/((1+X24)+(1+0.5*Dados!$C$73)*Dados!$C$76*Y24*Dados!$C$78)</f>
        <v/>
      </c>
      <c r="AA24" s="63">
        <f>R24-Z24</f>
        <v/>
      </c>
      <c r="AB24" s="63">
        <f>Dados!$C$59*AA24*1000</f>
        <v/>
      </c>
      <c r="AC24" s="64">
        <f>S24/Dados!$C$68</f>
        <v/>
      </c>
      <c r="AD24" s="64">
        <f>AB24/S24</f>
        <v/>
      </c>
    </row>
    <row r="25" ht="15" customHeight="1" s="47">
      <c r="A25" s="62" t="n">
        <v>17</v>
      </c>
      <c r="B25" s="63">
        <f>A25*0.5</f>
        <v/>
      </c>
      <c r="C25" s="63">
        <f>IF(B25&lt;=Dados!$C$5,B25,2*Dados!$C$5-B25)</f>
        <v/>
      </c>
      <c r="D25" s="64">
        <f>IF(C25&lt;=Dados!$C$47,Dados!$C$44-Dados!$C$53*(C25-Dados!$C$52)^2,-Dados!$C$45+Dados!$C$54*(Dados!$C$5-C25)^2)</f>
        <v/>
      </c>
      <c r="E25" s="65">
        <f>IF(B25&lt;=Dados!$C$5,1,-1)*IF(C25&lt;=Dados!$C$47,-2*Dados!$C$53*(C25-Dados!$C$52),-2*Dados!$C$54*(Dados!$C$5-C25))</f>
        <v/>
      </c>
      <c r="F25" s="65">
        <f>ATAN(E25)</f>
        <v/>
      </c>
      <c r="G25" s="65">
        <f>COS(F25)</f>
        <v/>
      </c>
      <c r="H25" s="65">
        <f>SIN(F25)</f>
        <v/>
      </c>
      <c r="I25" s="65">
        <f>ABS(F25-F24)</f>
        <v/>
      </c>
      <c r="J25" s="65">
        <f>J24+I25</f>
        <v/>
      </c>
      <c r="K25" s="64">
        <f>SQRT((B25-B24)^2+(D25-D24)^2)</f>
        <v/>
      </c>
      <c r="L25" s="66">
        <f>L24+K25</f>
        <v/>
      </c>
      <c r="M25" s="63">
        <f>Dados!$C$67*EXP(-Dados!$C$70*J25-Dados!$C$71*L25)</f>
        <v/>
      </c>
      <c r="N25" s="67">
        <f>N24+0.5*(M25+M24)*(B25-B24)</f>
        <v/>
      </c>
      <c r="O25" s="65">
        <f>2*(N25-M25*B25)/Dados!$C$65</f>
        <v/>
      </c>
      <c r="P25" s="63">
        <f>IF(B25&lt;=Dados!$C$81,2*Dados!$C$82-M25,M25)</f>
        <v/>
      </c>
      <c r="Q25" s="67">
        <f>MAX(Dados!$C$77*(Dados!$C$59*(1/Dados!$C$8+D25^2/Dados!$C$9)*P25-Esforcos!D25*D25/Dados!$C$9/1000)/(1+Dados!$C$77*Dados!$C$59*(1/Dados!$C$8+D25^2/Dados!$C$9)),0)</f>
        <v/>
      </c>
      <c r="R25" s="63">
        <f>P25-Q25</f>
        <v/>
      </c>
      <c r="S25" s="63">
        <f>Dados!$C$59*R25*1000</f>
        <v/>
      </c>
      <c r="T25" s="66">
        <f>(-S25/Dados!$C$8-S25*D25^2/Dados!$C$9+Esforcos!D25*D25/Dados!$C$9)/1000</f>
        <v/>
      </c>
      <c r="U25" s="64">
        <f>R25/Dados!$C$60</f>
        <v/>
      </c>
      <c r="V25" s="65">
        <f>IF(U25&lt;=0.5,0,IF(U25&lt;=0.6,(U25-0.5)/0.1*1.3,IF(U25&lt;=0.7,1.3+(U25-0.6)/0.1*1.2,IF(U25&lt;=0.8,2.5+(U25-0.7)/0.1*1,3.5))))/100</f>
        <v/>
      </c>
      <c r="W25" s="65">
        <f>2.5*V25</f>
        <v/>
      </c>
      <c r="X25" s="65">
        <f>-LN(1-W25)</f>
        <v/>
      </c>
      <c r="Y25" s="64">
        <f>1+D25^2*Dados!$C$8/Dados!$C$9</f>
        <v/>
      </c>
      <c r="Z25" s="63">
        <f>(ABS(Dados!$C$74)*Dados!$C$65+Dados!$C$76*ABS(T25)*Dados!$C$73+R25*X25)/((1+X25)+(1+0.5*Dados!$C$73)*Dados!$C$76*Y25*Dados!$C$78)</f>
        <v/>
      </c>
      <c r="AA25" s="63">
        <f>R25-Z25</f>
        <v/>
      </c>
      <c r="AB25" s="63">
        <f>Dados!$C$59*AA25*1000</f>
        <v/>
      </c>
      <c r="AC25" s="64">
        <f>S25/Dados!$C$68</f>
        <v/>
      </c>
      <c r="AD25" s="64">
        <f>AB25/S25</f>
        <v/>
      </c>
    </row>
    <row r="26" ht="15" customHeight="1" s="47">
      <c r="A26" s="62" t="n">
        <v>18</v>
      </c>
      <c r="B26" s="63">
        <f>A26*0.5</f>
        <v/>
      </c>
      <c r="C26" s="63">
        <f>IF(B26&lt;=Dados!$C$5,B26,2*Dados!$C$5-B26)</f>
        <v/>
      </c>
      <c r="D26" s="64">
        <f>IF(C26&lt;=Dados!$C$47,Dados!$C$44-Dados!$C$53*(C26-Dados!$C$52)^2,-Dados!$C$45+Dados!$C$54*(Dados!$C$5-C26)^2)</f>
        <v/>
      </c>
      <c r="E26" s="65">
        <f>IF(B26&lt;=Dados!$C$5,1,-1)*IF(C26&lt;=Dados!$C$47,-2*Dados!$C$53*(C26-Dados!$C$52),-2*Dados!$C$54*(Dados!$C$5-C26))</f>
        <v/>
      </c>
      <c r="F26" s="65">
        <f>ATAN(E26)</f>
        <v/>
      </c>
      <c r="G26" s="65">
        <f>COS(F26)</f>
        <v/>
      </c>
      <c r="H26" s="65">
        <f>SIN(F26)</f>
        <v/>
      </c>
      <c r="I26" s="65">
        <f>ABS(F26-F25)</f>
        <v/>
      </c>
      <c r="J26" s="65">
        <f>J25+I26</f>
        <v/>
      </c>
      <c r="K26" s="64">
        <f>SQRT((B26-B25)^2+(D26-D25)^2)</f>
        <v/>
      </c>
      <c r="L26" s="66">
        <f>L25+K26</f>
        <v/>
      </c>
      <c r="M26" s="63">
        <f>Dados!$C$67*EXP(-Dados!$C$70*J26-Dados!$C$71*L26)</f>
        <v/>
      </c>
      <c r="N26" s="67">
        <f>N25+0.5*(M26+M25)*(B26-B25)</f>
        <v/>
      </c>
      <c r="O26" s="65">
        <f>2*(N26-M26*B26)/Dados!$C$65</f>
        <v/>
      </c>
      <c r="P26" s="63">
        <f>IF(B26&lt;=Dados!$C$81,2*Dados!$C$82-M26,M26)</f>
        <v/>
      </c>
      <c r="Q26" s="67">
        <f>MAX(Dados!$C$77*(Dados!$C$59*(1/Dados!$C$8+D26^2/Dados!$C$9)*P26-Esforcos!D26*D26/Dados!$C$9/1000)/(1+Dados!$C$77*Dados!$C$59*(1/Dados!$C$8+D26^2/Dados!$C$9)),0)</f>
        <v/>
      </c>
      <c r="R26" s="63">
        <f>P26-Q26</f>
        <v/>
      </c>
      <c r="S26" s="63">
        <f>Dados!$C$59*R26*1000</f>
        <v/>
      </c>
      <c r="T26" s="66">
        <f>(-S26/Dados!$C$8-S26*D26^2/Dados!$C$9+Esforcos!D26*D26/Dados!$C$9)/1000</f>
        <v/>
      </c>
      <c r="U26" s="64">
        <f>R26/Dados!$C$60</f>
        <v/>
      </c>
      <c r="V26" s="65">
        <f>IF(U26&lt;=0.5,0,IF(U26&lt;=0.6,(U26-0.5)/0.1*1.3,IF(U26&lt;=0.7,1.3+(U26-0.6)/0.1*1.2,IF(U26&lt;=0.8,2.5+(U26-0.7)/0.1*1,3.5))))/100</f>
        <v/>
      </c>
      <c r="W26" s="65">
        <f>2.5*V26</f>
        <v/>
      </c>
      <c r="X26" s="65">
        <f>-LN(1-W26)</f>
        <v/>
      </c>
      <c r="Y26" s="64">
        <f>1+D26^2*Dados!$C$8/Dados!$C$9</f>
        <v/>
      </c>
      <c r="Z26" s="63">
        <f>(ABS(Dados!$C$74)*Dados!$C$65+Dados!$C$76*ABS(T26)*Dados!$C$73+R26*X26)/((1+X26)+(1+0.5*Dados!$C$73)*Dados!$C$76*Y26*Dados!$C$78)</f>
        <v/>
      </c>
      <c r="AA26" s="63">
        <f>R26-Z26</f>
        <v/>
      </c>
      <c r="AB26" s="63">
        <f>Dados!$C$59*AA26*1000</f>
        <v/>
      </c>
      <c r="AC26" s="64">
        <f>S26/Dados!$C$68</f>
        <v/>
      </c>
      <c r="AD26" s="64">
        <f>AB26/S26</f>
        <v/>
      </c>
    </row>
    <row r="27" ht="15" customHeight="1" s="47">
      <c r="A27" s="62" t="n">
        <v>19</v>
      </c>
      <c r="B27" s="63">
        <f>A27*0.5</f>
        <v/>
      </c>
      <c r="C27" s="63">
        <f>IF(B27&lt;=Dados!$C$5,B27,2*Dados!$C$5-B27)</f>
        <v/>
      </c>
      <c r="D27" s="64">
        <f>IF(C27&lt;=Dados!$C$47,Dados!$C$44-Dados!$C$53*(C27-Dados!$C$52)^2,-Dados!$C$45+Dados!$C$54*(Dados!$C$5-C27)^2)</f>
        <v/>
      </c>
      <c r="E27" s="65">
        <f>IF(B27&lt;=Dados!$C$5,1,-1)*IF(C27&lt;=Dados!$C$47,-2*Dados!$C$53*(C27-Dados!$C$52),-2*Dados!$C$54*(Dados!$C$5-C27))</f>
        <v/>
      </c>
      <c r="F27" s="65">
        <f>ATAN(E27)</f>
        <v/>
      </c>
      <c r="G27" s="65">
        <f>COS(F27)</f>
        <v/>
      </c>
      <c r="H27" s="65">
        <f>SIN(F27)</f>
        <v/>
      </c>
      <c r="I27" s="65">
        <f>ABS(F27-F26)</f>
        <v/>
      </c>
      <c r="J27" s="65">
        <f>J26+I27</f>
        <v/>
      </c>
      <c r="K27" s="64">
        <f>SQRT((B27-B26)^2+(D27-D26)^2)</f>
        <v/>
      </c>
      <c r="L27" s="66">
        <f>L26+K27</f>
        <v/>
      </c>
      <c r="M27" s="63">
        <f>Dados!$C$67*EXP(-Dados!$C$70*J27-Dados!$C$71*L27)</f>
        <v/>
      </c>
      <c r="N27" s="67">
        <f>N26+0.5*(M27+M26)*(B27-B26)</f>
        <v/>
      </c>
      <c r="O27" s="65">
        <f>2*(N27-M27*B27)/Dados!$C$65</f>
        <v/>
      </c>
      <c r="P27" s="63">
        <f>IF(B27&lt;=Dados!$C$81,2*Dados!$C$82-M27,M27)</f>
        <v/>
      </c>
      <c r="Q27" s="67">
        <f>MAX(Dados!$C$77*(Dados!$C$59*(1/Dados!$C$8+D27^2/Dados!$C$9)*P27-Esforcos!D27*D27/Dados!$C$9/1000)/(1+Dados!$C$77*Dados!$C$59*(1/Dados!$C$8+D27^2/Dados!$C$9)),0)</f>
        <v/>
      </c>
      <c r="R27" s="63">
        <f>P27-Q27</f>
        <v/>
      </c>
      <c r="S27" s="63">
        <f>Dados!$C$59*R27*1000</f>
        <v/>
      </c>
      <c r="T27" s="66">
        <f>(-S27/Dados!$C$8-S27*D27^2/Dados!$C$9+Esforcos!D27*D27/Dados!$C$9)/1000</f>
        <v/>
      </c>
      <c r="U27" s="64">
        <f>R27/Dados!$C$60</f>
        <v/>
      </c>
      <c r="V27" s="65">
        <f>IF(U27&lt;=0.5,0,IF(U27&lt;=0.6,(U27-0.5)/0.1*1.3,IF(U27&lt;=0.7,1.3+(U27-0.6)/0.1*1.2,IF(U27&lt;=0.8,2.5+(U27-0.7)/0.1*1,3.5))))/100</f>
        <v/>
      </c>
      <c r="W27" s="65">
        <f>2.5*V27</f>
        <v/>
      </c>
      <c r="X27" s="65">
        <f>-LN(1-W27)</f>
        <v/>
      </c>
      <c r="Y27" s="64">
        <f>1+D27^2*Dados!$C$8/Dados!$C$9</f>
        <v/>
      </c>
      <c r="Z27" s="63">
        <f>(ABS(Dados!$C$74)*Dados!$C$65+Dados!$C$76*ABS(T27)*Dados!$C$73+R27*X27)/((1+X27)+(1+0.5*Dados!$C$73)*Dados!$C$76*Y27*Dados!$C$78)</f>
        <v/>
      </c>
      <c r="AA27" s="63">
        <f>R27-Z27</f>
        <v/>
      </c>
      <c r="AB27" s="63">
        <f>Dados!$C$59*AA27*1000</f>
        <v/>
      </c>
      <c r="AC27" s="64">
        <f>S27/Dados!$C$68</f>
        <v/>
      </c>
      <c r="AD27" s="64">
        <f>AB27/S27</f>
        <v/>
      </c>
    </row>
    <row r="28" ht="15" customHeight="1" s="47">
      <c r="A28" s="62" t="n">
        <v>20</v>
      </c>
      <c r="B28" s="63">
        <f>A28*0.5</f>
        <v/>
      </c>
      <c r="C28" s="63">
        <f>IF(B28&lt;=Dados!$C$5,B28,2*Dados!$C$5-B28)</f>
        <v/>
      </c>
      <c r="D28" s="64">
        <f>IF(C28&lt;=Dados!$C$47,Dados!$C$44-Dados!$C$53*(C28-Dados!$C$52)^2,-Dados!$C$45+Dados!$C$54*(Dados!$C$5-C28)^2)</f>
        <v/>
      </c>
      <c r="E28" s="65">
        <f>IF(B28&lt;=Dados!$C$5,1,-1)*IF(C28&lt;=Dados!$C$47,-2*Dados!$C$53*(C28-Dados!$C$52),-2*Dados!$C$54*(Dados!$C$5-C28))</f>
        <v/>
      </c>
      <c r="F28" s="65">
        <f>ATAN(E28)</f>
        <v/>
      </c>
      <c r="G28" s="65">
        <f>COS(F28)</f>
        <v/>
      </c>
      <c r="H28" s="65">
        <f>SIN(F28)</f>
        <v/>
      </c>
      <c r="I28" s="65">
        <f>ABS(F28-F27)</f>
        <v/>
      </c>
      <c r="J28" s="65">
        <f>J27+I28</f>
        <v/>
      </c>
      <c r="K28" s="64">
        <f>SQRT((B28-B27)^2+(D28-D27)^2)</f>
        <v/>
      </c>
      <c r="L28" s="66">
        <f>L27+K28</f>
        <v/>
      </c>
      <c r="M28" s="63">
        <f>Dados!$C$67*EXP(-Dados!$C$70*J28-Dados!$C$71*L28)</f>
        <v/>
      </c>
      <c r="N28" s="67">
        <f>N27+0.5*(M28+M27)*(B28-B27)</f>
        <v/>
      </c>
      <c r="O28" s="65">
        <f>2*(N28-M28*B28)/Dados!$C$65</f>
        <v/>
      </c>
      <c r="P28" s="63">
        <f>IF(B28&lt;=Dados!$C$81,2*Dados!$C$82-M28,M28)</f>
        <v/>
      </c>
      <c r="Q28" s="67">
        <f>MAX(Dados!$C$77*(Dados!$C$59*(1/Dados!$C$8+D28^2/Dados!$C$9)*P28-Esforcos!D28*D28/Dados!$C$9/1000)/(1+Dados!$C$77*Dados!$C$59*(1/Dados!$C$8+D28^2/Dados!$C$9)),0)</f>
        <v/>
      </c>
      <c r="R28" s="63">
        <f>P28-Q28</f>
        <v/>
      </c>
      <c r="S28" s="63">
        <f>Dados!$C$59*R28*1000</f>
        <v/>
      </c>
      <c r="T28" s="66">
        <f>(-S28/Dados!$C$8-S28*D28^2/Dados!$C$9+Esforcos!D28*D28/Dados!$C$9)/1000</f>
        <v/>
      </c>
      <c r="U28" s="64">
        <f>R28/Dados!$C$60</f>
        <v/>
      </c>
      <c r="V28" s="65">
        <f>IF(U28&lt;=0.5,0,IF(U28&lt;=0.6,(U28-0.5)/0.1*1.3,IF(U28&lt;=0.7,1.3+(U28-0.6)/0.1*1.2,IF(U28&lt;=0.8,2.5+(U28-0.7)/0.1*1,3.5))))/100</f>
        <v/>
      </c>
      <c r="W28" s="65">
        <f>2.5*V28</f>
        <v/>
      </c>
      <c r="X28" s="65">
        <f>-LN(1-W28)</f>
        <v/>
      </c>
      <c r="Y28" s="64">
        <f>1+D28^2*Dados!$C$8/Dados!$C$9</f>
        <v/>
      </c>
      <c r="Z28" s="63">
        <f>(ABS(Dados!$C$74)*Dados!$C$65+Dados!$C$76*ABS(T28)*Dados!$C$73+R28*X28)/((1+X28)+(1+0.5*Dados!$C$73)*Dados!$C$76*Y28*Dados!$C$78)</f>
        <v/>
      </c>
      <c r="AA28" s="63">
        <f>R28-Z28</f>
        <v/>
      </c>
      <c r="AB28" s="63">
        <f>Dados!$C$59*AA28*1000</f>
        <v/>
      </c>
      <c r="AC28" s="64">
        <f>S28/Dados!$C$68</f>
        <v/>
      </c>
      <c r="AD28" s="64">
        <f>AB28/S28</f>
        <v/>
      </c>
    </row>
    <row r="29" ht="15" customHeight="1" s="47">
      <c r="A29" s="62" t="n">
        <v>21</v>
      </c>
      <c r="B29" s="63">
        <f>A29*0.5</f>
        <v/>
      </c>
      <c r="C29" s="63">
        <f>IF(B29&lt;=Dados!$C$5,B29,2*Dados!$C$5-B29)</f>
        <v/>
      </c>
      <c r="D29" s="64">
        <f>IF(C29&lt;=Dados!$C$47,Dados!$C$44-Dados!$C$53*(C29-Dados!$C$52)^2,-Dados!$C$45+Dados!$C$54*(Dados!$C$5-C29)^2)</f>
        <v/>
      </c>
      <c r="E29" s="65">
        <f>IF(B29&lt;=Dados!$C$5,1,-1)*IF(C29&lt;=Dados!$C$47,-2*Dados!$C$53*(C29-Dados!$C$52),-2*Dados!$C$54*(Dados!$C$5-C29))</f>
        <v/>
      </c>
      <c r="F29" s="65">
        <f>ATAN(E29)</f>
        <v/>
      </c>
      <c r="G29" s="65">
        <f>COS(F29)</f>
        <v/>
      </c>
      <c r="H29" s="65">
        <f>SIN(F29)</f>
        <v/>
      </c>
      <c r="I29" s="65">
        <f>ABS(F29-F28)</f>
        <v/>
      </c>
      <c r="J29" s="65">
        <f>J28+I29</f>
        <v/>
      </c>
      <c r="K29" s="64">
        <f>SQRT((B29-B28)^2+(D29-D28)^2)</f>
        <v/>
      </c>
      <c r="L29" s="66">
        <f>L28+K29</f>
        <v/>
      </c>
      <c r="M29" s="63">
        <f>Dados!$C$67*EXP(-Dados!$C$70*J29-Dados!$C$71*L29)</f>
        <v/>
      </c>
      <c r="N29" s="67">
        <f>N28+0.5*(M29+M28)*(B29-B28)</f>
        <v/>
      </c>
      <c r="O29" s="65" t="n"/>
      <c r="P29" s="63">
        <f>P27</f>
        <v/>
      </c>
      <c r="Q29" s="67">
        <f>MAX(Dados!$C$77*(Dados!$C$59*(1/Dados!$C$8+D29^2/Dados!$C$9)*P29-Esforcos!D29*D29/Dados!$C$9/1000)/(1+Dados!$C$77*Dados!$C$59*(1/Dados!$C$8+D29^2/Dados!$C$9)),0)</f>
        <v/>
      </c>
      <c r="R29" s="63">
        <f>P29-Q29</f>
        <v/>
      </c>
      <c r="S29" s="63">
        <f>Dados!$C$59*R29*1000</f>
        <v/>
      </c>
      <c r="T29" s="66">
        <f>(-S29/Dados!$C$8-S29*D29^2/Dados!$C$9+Esforcos!D29*D29/Dados!$C$9)/1000</f>
        <v/>
      </c>
      <c r="U29" s="64">
        <f>R29/Dados!$C$60</f>
        <v/>
      </c>
      <c r="V29" s="65">
        <f>IF(U29&lt;=0.5,0,IF(U29&lt;=0.6,(U29-0.5)/0.1*1.3,IF(U29&lt;=0.7,1.3+(U29-0.6)/0.1*1.2,IF(U29&lt;=0.8,2.5+(U29-0.7)/0.1*1,3.5))))/100</f>
        <v/>
      </c>
      <c r="W29" s="65">
        <f>2.5*V29</f>
        <v/>
      </c>
      <c r="X29" s="65">
        <f>-LN(1-W29)</f>
        <v/>
      </c>
      <c r="Y29" s="64">
        <f>1+D29^2*Dados!$C$8/Dados!$C$9</f>
        <v/>
      </c>
      <c r="Z29" s="63">
        <f>(ABS(Dados!$C$74)*Dados!$C$65+Dados!$C$76*ABS(T29)*Dados!$C$73+R29*X29)/((1+X29)+(1+0.5*Dados!$C$73)*Dados!$C$76*Y29*Dados!$C$78)</f>
        <v/>
      </c>
      <c r="AA29" s="63">
        <f>R29-Z29</f>
        <v/>
      </c>
      <c r="AB29" s="63">
        <f>Dados!$C$59*AA29*1000</f>
        <v/>
      </c>
      <c r="AC29" s="64">
        <f>S29/Dados!$C$68</f>
        <v/>
      </c>
      <c r="AD29" s="64">
        <f>AB29/S29</f>
        <v/>
      </c>
    </row>
    <row r="30" ht="15" customHeight="1" s="47">
      <c r="A30" s="62" t="n">
        <v>22</v>
      </c>
      <c r="B30" s="63">
        <f>A30*0.5</f>
        <v/>
      </c>
      <c r="C30" s="63">
        <f>IF(B30&lt;=Dados!$C$5,B30,2*Dados!$C$5-B30)</f>
        <v/>
      </c>
      <c r="D30" s="64">
        <f>IF(C30&lt;=Dados!$C$47,Dados!$C$44-Dados!$C$53*(C30-Dados!$C$52)^2,-Dados!$C$45+Dados!$C$54*(Dados!$C$5-C30)^2)</f>
        <v/>
      </c>
      <c r="E30" s="65">
        <f>IF(B30&lt;=Dados!$C$5,1,-1)*IF(C30&lt;=Dados!$C$47,-2*Dados!$C$53*(C30-Dados!$C$52),-2*Dados!$C$54*(Dados!$C$5-C30))</f>
        <v/>
      </c>
      <c r="F30" s="65">
        <f>ATAN(E30)</f>
        <v/>
      </c>
      <c r="G30" s="65">
        <f>COS(F30)</f>
        <v/>
      </c>
      <c r="H30" s="65">
        <f>SIN(F30)</f>
        <v/>
      </c>
      <c r="I30" s="65">
        <f>ABS(F30-F29)</f>
        <v/>
      </c>
      <c r="J30" s="65">
        <f>J29+I30</f>
        <v/>
      </c>
      <c r="K30" s="64">
        <f>SQRT((B30-B29)^2+(D30-D29)^2)</f>
        <v/>
      </c>
      <c r="L30" s="66">
        <f>L29+K30</f>
        <v/>
      </c>
      <c r="M30" s="63">
        <f>Dados!$C$67*EXP(-Dados!$C$70*J30-Dados!$C$71*L30)</f>
        <v/>
      </c>
      <c r="N30" s="67">
        <f>N29+0.5*(M30+M29)*(B30-B29)</f>
        <v/>
      </c>
      <c r="O30" s="65" t="n"/>
      <c r="P30" s="63">
        <f>P26</f>
        <v/>
      </c>
      <c r="Q30" s="67">
        <f>MAX(Dados!$C$77*(Dados!$C$59*(1/Dados!$C$8+D30^2/Dados!$C$9)*P30-Esforcos!D30*D30/Dados!$C$9/1000)/(1+Dados!$C$77*Dados!$C$59*(1/Dados!$C$8+D30^2/Dados!$C$9)),0)</f>
        <v/>
      </c>
      <c r="R30" s="63">
        <f>P30-Q30</f>
        <v/>
      </c>
      <c r="S30" s="63">
        <f>Dados!$C$59*R30*1000</f>
        <v/>
      </c>
      <c r="T30" s="66">
        <f>(-S30/Dados!$C$8-S30*D30^2/Dados!$C$9+Esforcos!D30*D30/Dados!$C$9)/1000</f>
        <v/>
      </c>
      <c r="U30" s="64">
        <f>R30/Dados!$C$60</f>
        <v/>
      </c>
      <c r="V30" s="65">
        <f>IF(U30&lt;=0.5,0,IF(U30&lt;=0.6,(U30-0.5)/0.1*1.3,IF(U30&lt;=0.7,1.3+(U30-0.6)/0.1*1.2,IF(U30&lt;=0.8,2.5+(U30-0.7)/0.1*1,3.5))))/100</f>
        <v/>
      </c>
      <c r="W30" s="65">
        <f>2.5*V30</f>
        <v/>
      </c>
      <c r="X30" s="65">
        <f>-LN(1-W30)</f>
        <v/>
      </c>
      <c r="Y30" s="64">
        <f>1+D30^2*Dados!$C$8/Dados!$C$9</f>
        <v/>
      </c>
      <c r="Z30" s="63">
        <f>(ABS(Dados!$C$74)*Dados!$C$65+Dados!$C$76*ABS(T30)*Dados!$C$73+R30*X30)/((1+X30)+(1+0.5*Dados!$C$73)*Dados!$C$76*Y30*Dados!$C$78)</f>
        <v/>
      </c>
      <c r="AA30" s="63">
        <f>R30-Z30</f>
        <v/>
      </c>
      <c r="AB30" s="63">
        <f>Dados!$C$59*AA30*1000</f>
        <v/>
      </c>
      <c r="AC30" s="64">
        <f>S30/Dados!$C$68</f>
        <v/>
      </c>
      <c r="AD30" s="64">
        <f>AB30/S30</f>
        <v/>
      </c>
    </row>
    <row r="31" ht="15" customHeight="1" s="47">
      <c r="A31" s="62" t="n">
        <v>23</v>
      </c>
      <c r="B31" s="63">
        <f>A31*0.5</f>
        <v/>
      </c>
      <c r="C31" s="63">
        <f>IF(B31&lt;=Dados!$C$5,B31,2*Dados!$C$5-B31)</f>
        <v/>
      </c>
      <c r="D31" s="64">
        <f>IF(C31&lt;=Dados!$C$47,Dados!$C$44-Dados!$C$53*(C31-Dados!$C$52)^2,-Dados!$C$45+Dados!$C$54*(Dados!$C$5-C31)^2)</f>
        <v/>
      </c>
      <c r="E31" s="65">
        <f>IF(B31&lt;=Dados!$C$5,1,-1)*IF(C31&lt;=Dados!$C$47,-2*Dados!$C$53*(C31-Dados!$C$52),-2*Dados!$C$54*(Dados!$C$5-C31))</f>
        <v/>
      </c>
      <c r="F31" s="65">
        <f>ATAN(E31)</f>
        <v/>
      </c>
      <c r="G31" s="65">
        <f>COS(F31)</f>
        <v/>
      </c>
      <c r="H31" s="65">
        <f>SIN(F31)</f>
        <v/>
      </c>
      <c r="I31" s="65">
        <f>ABS(F31-F30)</f>
        <v/>
      </c>
      <c r="J31" s="65">
        <f>J30+I31</f>
        <v/>
      </c>
      <c r="K31" s="64">
        <f>SQRT((B31-B30)^2+(D31-D30)^2)</f>
        <v/>
      </c>
      <c r="L31" s="66">
        <f>L30+K31</f>
        <v/>
      </c>
      <c r="M31" s="63">
        <f>Dados!$C$67*EXP(-Dados!$C$70*J31-Dados!$C$71*L31)</f>
        <v/>
      </c>
      <c r="N31" s="67">
        <f>N30+0.5*(M31+M30)*(B31-B30)</f>
        <v/>
      </c>
      <c r="O31" s="65" t="n"/>
      <c r="P31" s="63">
        <f>P25</f>
        <v/>
      </c>
      <c r="Q31" s="67">
        <f>MAX(Dados!$C$77*(Dados!$C$59*(1/Dados!$C$8+D31^2/Dados!$C$9)*P31-Esforcos!D31*D31/Dados!$C$9/1000)/(1+Dados!$C$77*Dados!$C$59*(1/Dados!$C$8+D31^2/Dados!$C$9)),0)</f>
        <v/>
      </c>
      <c r="R31" s="63">
        <f>P31-Q31</f>
        <v/>
      </c>
      <c r="S31" s="63">
        <f>Dados!$C$59*R31*1000</f>
        <v/>
      </c>
      <c r="T31" s="66">
        <f>(-S31/Dados!$C$8-S31*D31^2/Dados!$C$9+Esforcos!D31*D31/Dados!$C$9)/1000</f>
        <v/>
      </c>
      <c r="U31" s="64">
        <f>R31/Dados!$C$60</f>
        <v/>
      </c>
      <c r="V31" s="65">
        <f>IF(U31&lt;=0.5,0,IF(U31&lt;=0.6,(U31-0.5)/0.1*1.3,IF(U31&lt;=0.7,1.3+(U31-0.6)/0.1*1.2,IF(U31&lt;=0.8,2.5+(U31-0.7)/0.1*1,3.5))))/100</f>
        <v/>
      </c>
      <c r="W31" s="65">
        <f>2.5*V31</f>
        <v/>
      </c>
      <c r="X31" s="65">
        <f>-LN(1-W31)</f>
        <v/>
      </c>
      <c r="Y31" s="64">
        <f>1+D31^2*Dados!$C$8/Dados!$C$9</f>
        <v/>
      </c>
      <c r="Z31" s="63">
        <f>(ABS(Dados!$C$74)*Dados!$C$65+Dados!$C$76*ABS(T31)*Dados!$C$73+R31*X31)/((1+X31)+(1+0.5*Dados!$C$73)*Dados!$C$76*Y31*Dados!$C$78)</f>
        <v/>
      </c>
      <c r="AA31" s="63">
        <f>R31-Z31</f>
        <v/>
      </c>
      <c r="AB31" s="63">
        <f>Dados!$C$59*AA31*1000</f>
        <v/>
      </c>
      <c r="AC31" s="64">
        <f>S31/Dados!$C$68</f>
        <v/>
      </c>
      <c r="AD31" s="64">
        <f>AB31/S31</f>
        <v/>
      </c>
    </row>
    <row r="32" ht="15" customHeight="1" s="47">
      <c r="A32" s="62" t="n">
        <v>24</v>
      </c>
      <c r="B32" s="63">
        <f>A32*0.5</f>
        <v/>
      </c>
      <c r="C32" s="63">
        <f>IF(B32&lt;=Dados!$C$5,B32,2*Dados!$C$5-B32)</f>
        <v/>
      </c>
      <c r="D32" s="64">
        <f>IF(C32&lt;=Dados!$C$47,Dados!$C$44-Dados!$C$53*(C32-Dados!$C$52)^2,-Dados!$C$45+Dados!$C$54*(Dados!$C$5-C32)^2)</f>
        <v/>
      </c>
      <c r="E32" s="65">
        <f>IF(B32&lt;=Dados!$C$5,1,-1)*IF(C32&lt;=Dados!$C$47,-2*Dados!$C$53*(C32-Dados!$C$52),-2*Dados!$C$54*(Dados!$C$5-C32))</f>
        <v/>
      </c>
      <c r="F32" s="65">
        <f>ATAN(E32)</f>
        <v/>
      </c>
      <c r="G32" s="65">
        <f>COS(F32)</f>
        <v/>
      </c>
      <c r="H32" s="65">
        <f>SIN(F32)</f>
        <v/>
      </c>
      <c r="I32" s="65">
        <f>ABS(F32-F31)</f>
        <v/>
      </c>
      <c r="J32" s="65">
        <f>J31+I32</f>
        <v/>
      </c>
      <c r="K32" s="64">
        <f>SQRT((B32-B31)^2+(D32-D31)^2)</f>
        <v/>
      </c>
      <c r="L32" s="66">
        <f>L31+K32</f>
        <v/>
      </c>
      <c r="M32" s="63">
        <f>Dados!$C$67*EXP(-Dados!$C$70*J32-Dados!$C$71*L32)</f>
        <v/>
      </c>
      <c r="N32" s="67">
        <f>N31+0.5*(M32+M31)*(B32-B31)</f>
        <v/>
      </c>
      <c r="O32" s="65" t="n"/>
      <c r="P32" s="63">
        <f>P24</f>
        <v/>
      </c>
      <c r="Q32" s="67">
        <f>MAX(Dados!$C$77*(Dados!$C$59*(1/Dados!$C$8+D32^2/Dados!$C$9)*P32-Esforcos!D32*D32/Dados!$C$9/1000)/(1+Dados!$C$77*Dados!$C$59*(1/Dados!$C$8+D32^2/Dados!$C$9)),0)</f>
        <v/>
      </c>
      <c r="R32" s="63">
        <f>P32-Q32</f>
        <v/>
      </c>
      <c r="S32" s="63">
        <f>Dados!$C$59*R32*1000</f>
        <v/>
      </c>
      <c r="T32" s="66">
        <f>(-S32/Dados!$C$8-S32*D32^2/Dados!$C$9+Esforcos!D32*D32/Dados!$C$9)/1000</f>
        <v/>
      </c>
      <c r="U32" s="64">
        <f>R32/Dados!$C$60</f>
        <v/>
      </c>
      <c r="V32" s="65">
        <f>IF(U32&lt;=0.5,0,IF(U32&lt;=0.6,(U32-0.5)/0.1*1.3,IF(U32&lt;=0.7,1.3+(U32-0.6)/0.1*1.2,IF(U32&lt;=0.8,2.5+(U32-0.7)/0.1*1,3.5))))/100</f>
        <v/>
      </c>
      <c r="W32" s="65">
        <f>2.5*V32</f>
        <v/>
      </c>
      <c r="X32" s="65">
        <f>-LN(1-W32)</f>
        <v/>
      </c>
      <c r="Y32" s="64">
        <f>1+D32^2*Dados!$C$8/Dados!$C$9</f>
        <v/>
      </c>
      <c r="Z32" s="63">
        <f>(ABS(Dados!$C$74)*Dados!$C$65+Dados!$C$76*ABS(T32)*Dados!$C$73+R32*X32)/((1+X32)+(1+0.5*Dados!$C$73)*Dados!$C$76*Y32*Dados!$C$78)</f>
        <v/>
      </c>
      <c r="AA32" s="63">
        <f>R32-Z32</f>
        <v/>
      </c>
      <c r="AB32" s="63">
        <f>Dados!$C$59*AA32*1000</f>
        <v/>
      </c>
      <c r="AC32" s="64">
        <f>S32/Dados!$C$68</f>
        <v/>
      </c>
      <c r="AD32" s="64">
        <f>AB32/S32</f>
        <v/>
      </c>
    </row>
    <row r="33" ht="15" customHeight="1" s="47">
      <c r="A33" s="62" t="n">
        <v>25</v>
      </c>
      <c r="B33" s="63">
        <f>A33*0.5</f>
        <v/>
      </c>
      <c r="C33" s="63">
        <f>IF(B33&lt;=Dados!$C$5,B33,2*Dados!$C$5-B33)</f>
        <v/>
      </c>
      <c r="D33" s="64">
        <f>IF(C33&lt;=Dados!$C$47,Dados!$C$44-Dados!$C$53*(C33-Dados!$C$52)^2,-Dados!$C$45+Dados!$C$54*(Dados!$C$5-C33)^2)</f>
        <v/>
      </c>
      <c r="E33" s="65">
        <f>IF(B33&lt;=Dados!$C$5,1,-1)*IF(C33&lt;=Dados!$C$47,-2*Dados!$C$53*(C33-Dados!$C$52),-2*Dados!$C$54*(Dados!$C$5-C33))</f>
        <v/>
      </c>
      <c r="F33" s="65">
        <f>ATAN(E33)</f>
        <v/>
      </c>
      <c r="G33" s="65">
        <f>COS(F33)</f>
        <v/>
      </c>
      <c r="H33" s="65">
        <f>SIN(F33)</f>
        <v/>
      </c>
      <c r="I33" s="65">
        <f>ABS(F33-F32)</f>
        <v/>
      </c>
      <c r="J33" s="65">
        <f>J32+I33</f>
        <v/>
      </c>
      <c r="K33" s="64">
        <f>SQRT((B33-B32)^2+(D33-D32)^2)</f>
        <v/>
      </c>
      <c r="L33" s="66">
        <f>L32+K33</f>
        <v/>
      </c>
      <c r="M33" s="63">
        <f>Dados!$C$67*EXP(-Dados!$C$70*J33-Dados!$C$71*L33)</f>
        <v/>
      </c>
      <c r="N33" s="67">
        <f>N32+0.5*(M33+M32)*(B33-B32)</f>
        <v/>
      </c>
      <c r="O33" s="65" t="n"/>
      <c r="P33" s="63">
        <f>P23</f>
        <v/>
      </c>
      <c r="Q33" s="67">
        <f>MAX(Dados!$C$77*(Dados!$C$59*(1/Dados!$C$8+D33^2/Dados!$C$9)*P33-Esforcos!D33*D33/Dados!$C$9/1000)/(1+Dados!$C$77*Dados!$C$59*(1/Dados!$C$8+D33^2/Dados!$C$9)),0)</f>
        <v/>
      </c>
      <c r="R33" s="63">
        <f>P33-Q33</f>
        <v/>
      </c>
      <c r="S33" s="63">
        <f>Dados!$C$59*R33*1000</f>
        <v/>
      </c>
      <c r="T33" s="66">
        <f>(-S33/Dados!$C$8-S33*D33^2/Dados!$C$9+Esforcos!D33*D33/Dados!$C$9)/1000</f>
        <v/>
      </c>
      <c r="U33" s="64">
        <f>R33/Dados!$C$60</f>
        <v/>
      </c>
      <c r="V33" s="65">
        <f>IF(U33&lt;=0.5,0,IF(U33&lt;=0.6,(U33-0.5)/0.1*1.3,IF(U33&lt;=0.7,1.3+(U33-0.6)/0.1*1.2,IF(U33&lt;=0.8,2.5+(U33-0.7)/0.1*1,3.5))))/100</f>
        <v/>
      </c>
      <c r="W33" s="65">
        <f>2.5*V33</f>
        <v/>
      </c>
      <c r="X33" s="65">
        <f>-LN(1-W33)</f>
        <v/>
      </c>
      <c r="Y33" s="64">
        <f>1+D33^2*Dados!$C$8/Dados!$C$9</f>
        <v/>
      </c>
      <c r="Z33" s="63">
        <f>(ABS(Dados!$C$74)*Dados!$C$65+Dados!$C$76*ABS(T33)*Dados!$C$73+R33*X33)/((1+X33)+(1+0.5*Dados!$C$73)*Dados!$C$76*Y33*Dados!$C$78)</f>
        <v/>
      </c>
      <c r="AA33" s="63">
        <f>R33-Z33</f>
        <v/>
      </c>
      <c r="AB33" s="63">
        <f>Dados!$C$59*AA33*1000</f>
        <v/>
      </c>
      <c r="AC33" s="64">
        <f>S33/Dados!$C$68</f>
        <v/>
      </c>
      <c r="AD33" s="64">
        <f>AB33/S33</f>
        <v/>
      </c>
    </row>
    <row r="34" ht="15" customHeight="1" s="47">
      <c r="A34" s="62" t="n">
        <v>26</v>
      </c>
      <c r="B34" s="63">
        <f>A34*0.5</f>
        <v/>
      </c>
      <c r="C34" s="63">
        <f>IF(B34&lt;=Dados!$C$5,B34,2*Dados!$C$5-B34)</f>
        <v/>
      </c>
      <c r="D34" s="64">
        <f>IF(C34&lt;=Dados!$C$47,Dados!$C$44-Dados!$C$53*(C34-Dados!$C$52)^2,-Dados!$C$45+Dados!$C$54*(Dados!$C$5-C34)^2)</f>
        <v/>
      </c>
      <c r="E34" s="65">
        <f>IF(B34&lt;=Dados!$C$5,1,-1)*IF(C34&lt;=Dados!$C$47,-2*Dados!$C$53*(C34-Dados!$C$52),-2*Dados!$C$54*(Dados!$C$5-C34))</f>
        <v/>
      </c>
      <c r="F34" s="65">
        <f>ATAN(E34)</f>
        <v/>
      </c>
      <c r="G34" s="65">
        <f>COS(F34)</f>
        <v/>
      </c>
      <c r="H34" s="65">
        <f>SIN(F34)</f>
        <v/>
      </c>
      <c r="I34" s="65">
        <f>ABS(F34-F33)</f>
        <v/>
      </c>
      <c r="J34" s="65">
        <f>J33+I34</f>
        <v/>
      </c>
      <c r="K34" s="64">
        <f>SQRT((B34-B33)^2+(D34-D33)^2)</f>
        <v/>
      </c>
      <c r="L34" s="66">
        <f>L33+K34</f>
        <v/>
      </c>
      <c r="M34" s="63">
        <f>Dados!$C$67*EXP(-Dados!$C$70*J34-Dados!$C$71*L34)</f>
        <v/>
      </c>
      <c r="N34" s="67">
        <f>N33+0.5*(M34+M33)*(B34-B33)</f>
        <v/>
      </c>
      <c r="O34" s="65" t="n"/>
      <c r="P34" s="63">
        <f>P22</f>
        <v/>
      </c>
      <c r="Q34" s="67">
        <f>MAX(Dados!$C$77*(Dados!$C$59*(1/Dados!$C$8+D34^2/Dados!$C$9)*P34-Esforcos!D34*D34/Dados!$C$9/1000)/(1+Dados!$C$77*Dados!$C$59*(1/Dados!$C$8+D34^2/Dados!$C$9)),0)</f>
        <v/>
      </c>
      <c r="R34" s="63">
        <f>P34-Q34</f>
        <v/>
      </c>
      <c r="S34" s="63">
        <f>Dados!$C$59*R34*1000</f>
        <v/>
      </c>
      <c r="T34" s="66">
        <f>(-S34/Dados!$C$8-S34*D34^2/Dados!$C$9+Esforcos!D34*D34/Dados!$C$9)/1000</f>
        <v/>
      </c>
      <c r="U34" s="64">
        <f>R34/Dados!$C$60</f>
        <v/>
      </c>
      <c r="V34" s="65">
        <f>IF(U34&lt;=0.5,0,IF(U34&lt;=0.6,(U34-0.5)/0.1*1.3,IF(U34&lt;=0.7,1.3+(U34-0.6)/0.1*1.2,IF(U34&lt;=0.8,2.5+(U34-0.7)/0.1*1,3.5))))/100</f>
        <v/>
      </c>
      <c r="W34" s="65">
        <f>2.5*V34</f>
        <v/>
      </c>
      <c r="X34" s="65">
        <f>-LN(1-W34)</f>
        <v/>
      </c>
      <c r="Y34" s="64">
        <f>1+D34^2*Dados!$C$8/Dados!$C$9</f>
        <v/>
      </c>
      <c r="Z34" s="63">
        <f>(ABS(Dados!$C$74)*Dados!$C$65+Dados!$C$76*ABS(T34)*Dados!$C$73+R34*X34)/((1+X34)+(1+0.5*Dados!$C$73)*Dados!$C$76*Y34*Dados!$C$78)</f>
        <v/>
      </c>
      <c r="AA34" s="63">
        <f>R34-Z34</f>
        <v/>
      </c>
      <c r="AB34" s="63">
        <f>Dados!$C$59*AA34*1000</f>
        <v/>
      </c>
      <c r="AC34" s="64">
        <f>S34/Dados!$C$68</f>
        <v/>
      </c>
      <c r="AD34" s="64">
        <f>AB34/S34</f>
        <v/>
      </c>
    </row>
    <row r="35" ht="15" customHeight="1" s="47">
      <c r="A35" s="62" t="n">
        <v>27</v>
      </c>
      <c r="B35" s="63">
        <f>A35*0.5</f>
        <v/>
      </c>
      <c r="C35" s="63">
        <f>IF(B35&lt;=Dados!$C$5,B35,2*Dados!$C$5-B35)</f>
        <v/>
      </c>
      <c r="D35" s="64">
        <f>IF(C35&lt;=Dados!$C$47,Dados!$C$44-Dados!$C$53*(C35-Dados!$C$52)^2,-Dados!$C$45+Dados!$C$54*(Dados!$C$5-C35)^2)</f>
        <v/>
      </c>
      <c r="E35" s="65">
        <f>IF(B35&lt;=Dados!$C$5,1,-1)*IF(C35&lt;=Dados!$C$47,-2*Dados!$C$53*(C35-Dados!$C$52),-2*Dados!$C$54*(Dados!$C$5-C35))</f>
        <v/>
      </c>
      <c r="F35" s="65">
        <f>ATAN(E35)</f>
        <v/>
      </c>
      <c r="G35" s="65">
        <f>COS(F35)</f>
        <v/>
      </c>
      <c r="H35" s="65">
        <f>SIN(F35)</f>
        <v/>
      </c>
      <c r="I35" s="65">
        <f>ABS(F35-F34)</f>
        <v/>
      </c>
      <c r="J35" s="65">
        <f>J34+I35</f>
        <v/>
      </c>
      <c r="K35" s="64">
        <f>SQRT((B35-B34)^2+(D35-D34)^2)</f>
        <v/>
      </c>
      <c r="L35" s="66">
        <f>L34+K35</f>
        <v/>
      </c>
      <c r="M35" s="63">
        <f>Dados!$C$67*EXP(-Dados!$C$70*J35-Dados!$C$71*L35)</f>
        <v/>
      </c>
      <c r="N35" s="67">
        <f>N34+0.5*(M35+M34)*(B35-B34)</f>
        <v/>
      </c>
      <c r="O35" s="65" t="n"/>
      <c r="P35" s="63">
        <f>P21</f>
        <v/>
      </c>
      <c r="Q35" s="67">
        <f>MAX(Dados!$C$77*(Dados!$C$59*(1/Dados!$C$8+D35^2/Dados!$C$9)*P35-Esforcos!D35*D35/Dados!$C$9/1000)/(1+Dados!$C$77*Dados!$C$59*(1/Dados!$C$8+D35^2/Dados!$C$9)),0)</f>
        <v/>
      </c>
      <c r="R35" s="63">
        <f>P35-Q35</f>
        <v/>
      </c>
      <c r="S35" s="63">
        <f>Dados!$C$59*R35*1000</f>
        <v/>
      </c>
      <c r="T35" s="66">
        <f>(-S35/Dados!$C$8-S35*D35^2/Dados!$C$9+Esforcos!D35*D35/Dados!$C$9)/1000</f>
        <v/>
      </c>
      <c r="U35" s="64">
        <f>R35/Dados!$C$60</f>
        <v/>
      </c>
      <c r="V35" s="65">
        <f>IF(U35&lt;=0.5,0,IF(U35&lt;=0.6,(U35-0.5)/0.1*1.3,IF(U35&lt;=0.7,1.3+(U35-0.6)/0.1*1.2,IF(U35&lt;=0.8,2.5+(U35-0.7)/0.1*1,3.5))))/100</f>
        <v/>
      </c>
      <c r="W35" s="65">
        <f>2.5*V35</f>
        <v/>
      </c>
      <c r="X35" s="65">
        <f>-LN(1-W35)</f>
        <v/>
      </c>
      <c r="Y35" s="64">
        <f>1+D35^2*Dados!$C$8/Dados!$C$9</f>
        <v/>
      </c>
      <c r="Z35" s="63">
        <f>(ABS(Dados!$C$74)*Dados!$C$65+Dados!$C$76*ABS(T35)*Dados!$C$73+R35*X35)/((1+X35)+(1+0.5*Dados!$C$73)*Dados!$C$76*Y35*Dados!$C$78)</f>
        <v/>
      </c>
      <c r="AA35" s="63">
        <f>R35-Z35</f>
        <v/>
      </c>
      <c r="AB35" s="63">
        <f>Dados!$C$59*AA35*1000</f>
        <v/>
      </c>
      <c r="AC35" s="64">
        <f>S35/Dados!$C$68</f>
        <v/>
      </c>
      <c r="AD35" s="64">
        <f>AB35/S35</f>
        <v/>
      </c>
    </row>
    <row r="36" ht="15" customHeight="1" s="47">
      <c r="A36" s="62" t="n">
        <v>28</v>
      </c>
      <c r="B36" s="63">
        <f>A36*0.5</f>
        <v/>
      </c>
      <c r="C36" s="63">
        <f>IF(B36&lt;=Dados!$C$5,B36,2*Dados!$C$5-B36)</f>
        <v/>
      </c>
      <c r="D36" s="64">
        <f>IF(C36&lt;=Dados!$C$47,Dados!$C$44-Dados!$C$53*(C36-Dados!$C$52)^2,-Dados!$C$45+Dados!$C$54*(Dados!$C$5-C36)^2)</f>
        <v/>
      </c>
      <c r="E36" s="65">
        <f>IF(B36&lt;=Dados!$C$5,1,-1)*IF(C36&lt;=Dados!$C$47,-2*Dados!$C$53*(C36-Dados!$C$52),-2*Dados!$C$54*(Dados!$C$5-C36))</f>
        <v/>
      </c>
      <c r="F36" s="65">
        <f>ATAN(E36)</f>
        <v/>
      </c>
      <c r="G36" s="65">
        <f>COS(F36)</f>
        <v/>
      </c>
      <c r="H36" s="65">
        <f>SIN(F36)</f>
        <v/>
      </c>
      <c r="I36" s="65">
        <f>ABS(F36-F35)</f>
        <v/>
      </c>
      <c r="J36" s="65">
        <f>J35+I36</f>
        <v/>
      </c>
      <c r="K36" s="64">
        <f>SQRT((B36-B35)^2+(D36-D35)^2)</f>
        <v/>
      </c>
      <c r="L36" s="66">
        <f>L35+K36</f>
        <v/>
      </c>
      <c r="M36" s="63">
        <f>Dados!$C$67*EXP(-Dados!$C$70*J36-Dados!$C$71*L36)</f>
        <v/>
      </c>
      <c r="N36" s="67">
        <f>N35+0.5*(M36+M35)*(B36-B35)</f>
        <v/>
      </c>
      <c r="O36" s="65" t="n"/>
      <c r="P36" s="63">
        <f>P20</f>
        <v/>
      </c>
      <c r="Q36" s="67">
        <f>MAX(Dados!$C$77*(Dados!$C$59*(1/Dados!$C$8+D36^2/Dados!$C$9)*P36-Esforcos!D36*D36/Dados!$C$9/1000)/(1+Dados!$C$77*Dados!$C$59*(1/Dados!$C$8+D36^2/Dados!$C$9)),0)</f>
        <v/>
      </c>
      <c r="R36" s="63">
        <f>P36-Q36</f>
        <v/>
      </c>
      <c r="S36" s="63">
        <f>Dados!$C$59*R36*1000</f>
        <v/>
      </c>
      <c r="T36" s="66">
        <f>(-S36/Dados!$C$8-S36*D36^2/Dados!$C$9+Esforcos!D36*D36/Dados!$C$9)/1000</f>
        <v/>
      </c>
      <c r="U36" s="64">
        <f>R36/Dados!$C$60</f>
        <v/>
      </c>
      <c r="V36" s="65">
        <f>IF(U36&lt;=0.5,0,IF(U36&lt;=0.6,(U36-0.5)/0.1*1.3,IF(U36&lt;=0.7,1.3+(U36-0.6)/0.1*1.2,IF(U36&lt;=0.8,2.5+(U36-0.7)/0.1*1,3.5))))/100</f>
        <v/>
      </c>
      <c r="W36" s="65">
        <f>2.5*V36</f>
        <v/>
      </c>
      <c r="X36" s="65">
        <f>-LN(1-W36)</f>
        <v/>
      </c>
      <c r="Y36" s="64">
        <f>1+D36^2*Dados!$C$8/Dados!$C$9</f>
        <v/>
      </c>
      <c r="Z36" s="63">
        <f>(ABS(Dados!$C$74)*Dados!$C$65+Dados!$C$76*ABS(T36)*Dados!$C$73+R36*X36)/((1+X36)+(1+0.5*Dados!$C$73)*Dados!$C$76*Y36*Dados!$C$78)</f>
        <v/>
      </c>
      <c r="AA36" s="63">
        <f>R36-Z36</f>
        <v/>
      </c>
      <c r="AB36" s="63">
        <f>Dados!$C$59*AA36*1000</f>
        <v/>
      </c>
      <c r="AC36" s="64">
        <f>S36/Dados!$C$68</f>
        <v/>
      </c>
      <c r="AD36" s="64">
        <f>AB36/S36</f>
        <v/>
      </c>
    </row>
    <row r="37" ht="15" customHeight="1" s="47">
      <c r="A37" s="62" t="n">
        <v>29</v>
      </c>
      <c r="B37" s="63">
        <f>A37*0.5</f>
        <v/>
      </c>
      <c r="C37" s="63">
        <f>IF(B37&lt;=Dados!$C$5,B37,2*Dados!$C$5-B37)</f>
        <v/>
      </c>
      <c r="D37" s="64">
        <f>IF(C37&lt;=Dados!$C$47,Dados!$C$44-Dados!$C$53*(C37-Dados!$C$52)^2,-Dados!$C$45+Dados!$C$54*(Dados!$C$5-C37)^2)</f>
        <v/>
      </c>
      <c r="E37" s="65">
        <f>IF(B37&lt;=Dados!$C$5,1,-1)*IF(C37&lt;=Dados!$C$47,-2*Dados!$C$53*(C37-Dados!$C$52),-2*Dados!$C$54*(Dados!$C$5-C37))</f>
        <v/>
      </c>
      <c r="F37" s="65">
        <f>ATAN(E37)</f>
        <v/>
      </c>
      <c r="G37" s="65">
        <f>COS(F37)</f>
        <v/>
      </c>
      <c r="H37" s="65">
        <f>SIN(F37)</f>
        <v/>
      </c>
      <c r="I37" s="65">
        <f>ABS(F37-F36)</f>
        <v/>
      </c>
      <c r="J37" s="65">
        <f>J36+I37</f>
        <v/>
      </c>
      <c r="K37" s="64">
        <f>SQRT((B37-B36)^2+(D37-D36)^2)</f>
        <v/>
      </c>
      <c r="L37" s="66">
        <f>L36+K37</f>
        <v/>
      </c>
      <c r="M37" s="63">
        <f>Dados!$C$67*EXP(-Dados!$C$70*J37-Dados!$C$71*L37)</f>
        <v/>
      </c>
      <c r="N37" s="67">
        <f>N36+0.5*(M37+M36)*(B37-B36)</f>
        <v/>
      </c>
      <c r="O37" s="65" t="n"/>
      <c r="P37" s="63">
        <f>P19</f>
        <v/>
      </c>
      <c r="Q37" s="67">
        <f>MAX(Dados!$C$77*(Dados!$C$59*(1/Dados!$C$8+D37^2/Dados!$C$9)*P37-Esforcos!D37*D37/Dados!$C$9/1000)/(1+Dados!$C$77*Dados!$C$59*(1/Dados!$C$8+D37^2/Dados!$C$9)),0)</f>
        <v/>
      </c>
      <c r="R37" s="63">
        <f>P37-Q37</f>
        <v/>
      </c>
      <c r="S37" s="63">
        <f>Dados!$C$59*R37*1000</f>
        <v/>
      </c>
      <c r="T37" s="66">
        <f>(-S37/Dados!$C$8-S37*D37^2/Dados!$C$9+Esforcos!D37*D37/Dados!$C$9)/1000</f>
        <v/>
      </c>
      <c r="U37" s="64">
        <f>R37/Dados!$C$60</f>
        <v/>
      </c>
      <c r="V37" s="65">
        <f>IF(U37&lt;=0.5,0,IF(U37&lt;=0.6,(U37-0.5)/0.1*1.3,IF(U37&lt;=0.7,1.3+(U37-0.6)/0.1*1.2,IF(U37&lt;=0.8,2.5+(U37-0.7)/0.1*1,3.5))))/100</f>
        <v/>
      </c>
      <c r="W37" s="65">
        <f>2.5*V37</f>
        <v/>
      </c>
      <c r="X37" s="65">
        <f>-LN(1-W37)</f>
        <v/>
      </c>
      <c r="Y37" s="64">
        <f>1+D37^2*Dados!$C$8/Dados!$C$9</f>
        <v/>
      </c>
      <c r="Z37" s="63">
        <f>(ABS(Dados!$C$74)*Dados!$C$65+Dados!$C$76*ABS(T37)*Dados!$C$73+R37*X37)/((1+X37)+(1+0.5*Dados!$C$73)*Dados!$C$76*Y37*Dados!$C$78)</f>
        <v/>
      </c>
      <c r="AA37" s="63">
        <f>R37-Z37</f>
        <v/>
      </c>
      <c r="AB37" s="63">
        <f>Dados!$C$59*AA37*1000</f>
        <v/>
      </c>
      <c r="AC37" s="64">
        <f>S37/Dados!$C$68</f>
        <v/>
      </c>
      <c r="AD37" s="64">
        <f>AB37/S37</f>
        <v/>
      </c>
    </row>
    <row r="38" ht="15" customHeight="1" s="47">
      <c r="A38" s="62" t="n">
        <v>30</v>
      </c>
      <c r="B38" s="63">
        <f>A38*0.5</f>
        <v/>
      </c>
      <c r="C38" s="63">
        <f>IF(B38&lt;=Dados!$C$5,B38,2*Dados!$C$5-B38)</f>
        <v/>
      </c>
      <c r="D38" s="64">
        <f>IF(C38&lt;=Dados!$C$47,Dados!$C$44-Dados!$C$53*(C38-Dados!$C$52)^2,-Dados!$C$45+Dados!$C$54*(Dados!$C$5-C38)^2)</f>
        <v/>
      </c>
      <c r="E38" s="65">
        <f>IF(B38&lt;=Dados!$C$5,1,-1)*IF(C38&lt;=Dados!$C$47,-2*Dados!$C$53*(C38-Dados!$C$52),-2*Dados!$C$54*(Dados!$C$5-C38))</f>
        <v/>
      </c>
      <c r="F38" s="65">
        <f>ATAN(E38)</f>
        <v/>
      </c>
      <c r="G38" s="65">
        <f>COS(F38)</f>
        <v/>
      </c>
      <c r="H38" s="65">
        <f>SIN(F38)</f>
        <v/>
      </c>
      <c r="I38" s="65">
        <f>ABS(F38-F37)</f>
        <v/>
      </c>
      <c r="J38" s="65">
        <f>J37+I38</f>
        <v/>
      </c>
      <c r="K38" s="64">
        <f>SQRT((B38-B37)^2+(D38-D37)^2)</f>
        <v/>
      </c>
      <c r="L38" s="66">
        <f>L37+K38</f>
        <v/>
      </c>
      <c r="M38" s="63">
        <f>Dados!$C$67*EXP(-Dados!$C$70*J38-Dados!$C$71*L38)</f>
        <v/>
      </c>
      <c r="N38" s="67">
        <f>N37+0.5*(M38+M37)*(B38-B37)</f>
        <v/>
      </c>
      <c r="O38" s="65" t="n"/>
      <c r="P38" s="63">
        <f>P18</f>
        <v/>
      </c>
      <c r="Q38" s="67">
        <f>MAX(Dados!$C$77*(Dados!$C$59*(1/Dados!$C$8+D38^2/Dados!$C$9)*P38-Esforcos!D38*D38/Dados!$C$9/1000)/(1+Dados!$C$77*Dados!$C$59*(1/Dados!$C$8+D38^2/Dados!$C$9)),0)</f>
        <v/>
      </c>
      <c r="R38" s="63">
        <f>P38-Q38</f>
        <v/>
      </c>
      <c r="S38" s="63">
        <f>Dados!$C$59*R38*1000</f>
        <v/>
      </c>
      <c r="T38" s="66">
        <f>(-S38/Dados!$C$8-S38*D38^2/Dados!$C$9+Esforcos!D38*D38/Dados!$C$9)/1000</f>
        <v/>
      </c>
      <c r="U38" s="64">
        <f>R38/Dados!$C$60</f>
        <v/>
      </c>
      <c r="V38" s="65">
        <f>IF(U38&lt;=0.5,0,IF(U38&lt;=0.6,(U38-0.5)/0.1*1.3,IF(U38&lt;=0.7,1.3+(U38-0.6)/0.1*1.2,IF(U38&lt;=0.8,2.5+(U38-0.7)/0.1*1,3.5))))/100</f>
        <v/>
      </c>
      <c r="W38" s="65">
        <f>2.5*V38</f>
        <v/>
      </c>
      <c r="X38" s="65">
        <f>-LN(1-W38)</f>
        <v/>
      </c>
      <c r="Y38" s="64">
        <f>1+D38^2*Dados!$C$8/Dados!$C$9</f>
        <v/>
      </c>
      <c r="Z38" s="63">
        <f>(ABS(Dados!$C$74)*Dados!$C$65+Dados!$C$76*ABS(T38)*Dados!$C$73+R38*X38)/((1+X38)+(1+0.5*Dados!$C$73)*Dados!$C$76*Y38*Dados!$C$78)</f>
        <v/>
      </c>
      <c r="AA38" s="63">
        <f>R38-Z38</f>
        <v/>
      </c>
      <c r="AB38" s="63">
        <f>Dados!$C$59*AA38*1000</f>
        <v/>
      </c>
      <c r="AC38" s="64">
        <f>S38/Dados!$C$68</f>
        <v/>
      </c>
      <c r="AD38" s="64">
        <f>AB38/S38</f>
        <v/>
      </c>
    </row>
    <row r="39" ht="15" customHeight="1" s="47">
      <c r="A39" s="62" t="n">
        <v>31</v>
      </c>
      <c r="B39" s="63">
        <f>A39*0.5</f>
        <v/>
      </c>
      <c r="C39" s="63">
        <f>IF(B39&lt;=Dados!$C$5,B39,2*Dados!$C$5-B39)</f>
        <v/>
      </c>
      <c r="D39" s="64">
        <f>IF(C39&lt;=Dados!$C$47,Dados!$C$44-Dados!$C$53*(C39-Dados!$C$52)^2,-Dados!$C$45+Dados!$C$54*(Dados!$C$5-C39)^2)</f>
        <v/>
      </c>
      <c r="E39" s="65">
        <f>IF(B39&lt;=Dados!$C$5,1,-1)*IF(C39&lt;=Dados!$C$47,-2*Dados!$C$53*(C39-Dados!$C$52),-2*Dados!$C$54*(Dados!$C$5-C39))</f>
        <v/>
      </c>
      <c r="F39" s="65">
        <f>ATAN(E39)</f>
        <v/>
      </c>
      <c r="G39" s="65">
        <f>COS(F39)</f>
        <v/>
      </c>
      <c r="H39" s="65">
        <f>SIN(F39)</f>
        <v/>
      </c>
      <c r="I39" s="65">
        <f>ABS(F39-F38)</f>
        <v/>
      </c>
      <c r="J39" s="65">
        <f>J38+I39</f>
        <v/>
      </c>
      <c r="K39" s="64">
        <f>SQRT((B39-B38)^2+(D39-D38)^2)</f>
        <v/>
      </c>
      <c r="L39" s="66">
        <f>L38+K39</f>
        <v/>
      </c>
      <c r="M39" s="63">
        <f>Dados!$C$67*EXP(-Dados!$C$70*J39-Dados!$C$71*L39)</f>
        <v/>
      </c>
      <c r="N39" s="67">
        <f>N38+0.5*(M39+M38)*(B39-B38)</f>
        <v/>
      </c>
      <c r="O39" s="65" t="n"/>
      <c r="P39" s="63">
        <f>P17</f>
        <v/>
      </c>
      <c r="Q39" s="67">
        <f>MAX(Dados!$C$77*(Dados!$C$59*(1/Dados!$C$8+D39^2/Dados!$C$9)*P39-Esforcos!D39*D39/Dados!$C$9/1000)/(1+Dados!$C$77*Dados!$C$59*(1/Dados!$C$8+D39^2/Dados!$C$9)),0)</f>
        <v/>
      </c>
      <c r="R39" s="63">
        <f>P39-Q39</f>
        <v/>
      </c>
      <c r="S39" s="63">
        <f>Dados!$C$59*R39*1000</f>
        <v/>
      </c>
      <c r="T39" s="66">
        <f>(-S39/Dados!$C$8-S39*D39^2/Dados!$C$9+Esforcos!D39*D39/Dados!$C$9)/1000</f>
        <v/>
      </c>
      <c r="U39" s="64">
        <f>R39/Dados!$C$60</f>
        <v/>
      </c>
      <c r="V39" s="65">
        <f>IF(U39&lt;=0.5,0,IF(U39&lt;=0.6,(U39-0.5)/0.1*1.3,IF(U39&lt;=0.7,1.3+(U39-0.6)/0.1*1.2,IF(U39&lt;=0.8,2.5+(U39-0.7)/0.1*1,3.5))))/100</f>
        <v/>
      </c>
      <c r="W39" s="65">
        <f>2.5*V39</f>
        <v/>
      </c>
      <c r="X39" s="65">
        <f>-LN(1-W39)</f>
        <v/>
      </c>
      <c r="Y39" s="64">
        <f>1+D39^2*Dados!$C$8/Dados!$C$9</f>
        <v/>
      </c>
      <c r="Z39" s="63">
        <f>(ABS(Dados!$C$74)*Dados!$C$65+Dados!$C$76*ABS(T39)*Dados!$C$73+R39*X39)/((1+X39)+(1+0.5*Dados!$C$73)*Dados!$C$76*Y39*Dados!$C$78)</f>
        <v/>
      </c>
      <c r="AA39" s="63">
        <f>R39-Z39</f>
        <v/>
      </c>
      <c r="AB39" s="63">
        <f>Dados!$C$59*AA39*1000</f>
        <v/>
      </c>
      <c r="AC39" s="64">
        <f>S39/Dados!$C$68</f>
        <v/>
      </c>
      <c r="AD39" s="64">
        <f>AB39/S39</f>
        <v/>
      </c>
    </row>
    <row r="40" ht="15" customHeight="1" s="47">
      <c r="A40" s="62" t="n">
        <v>32</v>
      </c>
      <c r="B40" s="63">
        <f>A40*0.5</f>
        <v/>
      </c>
      <c r="C40" s="63">
        <f>IF(B40&lt;=Dados!$C$5,B40,2*Dados!$C$5-B40)</f>
        <v/>
      </c>
      <c r="D40" s="64">
        <f>IF(C40&lt;=Dados!$C$47,Dados!$C$44-Dados!$C$53*(C40-Dados!$C$52)^2,-Dados!$C$45+Dados!$C$54*(Dados!$C$5-C40)^2)</f>
        <v/>
      </c>
      <c r="E40" s="65">
        <f>IF(B40&lt;=Dados!$C$5,1,-1)*IF(C40&lt;=Dados!$C$47,-2*Dados!$C$53*(C40-Dados!$C$52),-2*Dados!$C$54*(Dados!$C$5-C40))</f>
        <v/>
      </c>
      <c r="F40" s="65">
        <f>ATAN(E40)</f>
        <v/>
      </c>
      <c r="G40" s="65">
        <f>COS(F40)</f>
        <v/>
      </c>
      <c r="H40" s="65">
        <f>SIN(F40)</f>
        <v/>
      </c>
      <c r="I40" s="65">
        <f>ABS(F40-F39)</f>
        <v/>
      </c>
      <c r="J40" s="65">
        <f>J39+I40</f>
        <v/>
      </c>
      <c r="K40" s="64">
        <f>SQRT((B40-B39)^2+(D40-D39)^2)</f>
        <v/>
      </c>
      <c r="L40" s="66">
        <f>L39+K40</f>
        <v/>
      </c>
      <c r="M40" s="63">
        <f>Dados!$C$67*EXP(-Dados!$C$70*J40-Dados!$C$71*L40)</f>
        <v/>
      </c>
      <c r="N40" s="67">
        <f>N39+0.5*(M40+M39)*(B40-B39)</f>
        <v/>
      </c>
      <c r="O40" s="65" t="n"/>
      <c r="P40" s="63">
        <f>P16</f>
        <v/>
      </c>
      <c r="Q40" s="67">
        <f>MAX(Dados!$C$77*(Dados!$C$59*(1/Dados!$C$8+D40^2/Dados!$C$9)*P40-Esforcos!D40*D40/Dados!$C$9/1000)/(1+Dados!$C$77*Dados!$C$59*(1/Dados!$C$8+D40^2/Dados!$C$9)),0)</f>
        <v/>
      </c>
      <c r="R40" s="63">
        <f>P40-Q40</f>
        <v/>
      </c>
      <c r="S40" s="63">
        <f>Dados!$C$59*R40*1000</f>
        <v/>
      </c>
      <c r="T40" s="66">
        <f>(-S40/Dados!$C$8-S40*D40^2/Dados!$C$9+Esforcos!D40*D40/Dados!$C$9)/1000</f>
        <v/>
      </c>
      <c r="U40" s="64">
        <f>R40/Dados!$C$60</f>
        <v/>
      </c>
      <c r="V40" s="65">
        <f>IF(U40&lt;=0.5,0,IF(U40&lt;=0.6,(U40-0.5)/0.1*1.3,IF(U40&lt;=0.7,1.3+(U40-0.6)/0.1*1.2,IF(U40&lt;=0.8,2.5+(U40-0.7)/0.1*1,3.5))))/100</f>
        <v/>
      </c>
      <c r="W40" s="65">
        <f>2.5*V40</f>
        <v/>
      </c>
      <c r="X40" s="65">
        <f>-LN(1-W40)</f>
        <v/>
      </c>
      <c r="Y40" s="64">
        <f>1+D40^2*Dados!$C$8/Dados!$C$9</f>
        <v/>
      </c>
      <c r="Z40" s="63">
        <f>(ABS(Dados!$C$74)*Dados!$C$65+Dados!$C$76*ABS(T40)*Dados!$C$73+R40*X40)/((1+X40)+(1+0.5*Dados!$C$73)*Dados!$C$76*Y40*Dados!$C$78)</f>
        <v/>
      </c>
      <c r="AA40" s="63">
        <f>R40-Z40</f>
        <v/>
      </c>
      <c r="AB40" s="63">
        <f>Dados!$C$59*AA40*1000</f>
        <v/>
      </c>
      <c r="AC40" s="64">
        <f>S40/Dados!$C$68</f>
        <v/>
      </c>
      <c r="AD40" s="64">
        <f>AB40/S40</f>
        <v/>
      </c>
    </row>
    <row r="41" ht="15" customHeight="1" s="47">
      <c r="A41" s="62" t="n">
        <v>33</v>
      </c>
      <c r="B41" s="63">
        <f>A41*0.5</f>
        <v/>
      </c>
      <c r="C41" s="63">
        <f>IF(B41&lt;=Dados!$C$5,B41,2*Dados!$C$5-B41)</f>
        <v/>
      </c>
      <c r="D41" s="64">
        <f>IF(C41&lt;=Dados!$C$47,Dados!$C$44-Dados!$C$53*(C41-Dados!$C$52)^2,-Dados!$C$45+Dados!$C$54*(Dados!$C$5-C41)^2)</f>
        <v/>
      </c>
      <c r="E41" s="65">
        <f>IF(B41&lt;=Dados!$C$5,1,-1)*IF(C41&lt;=Dados!$C$47,-2*Dados!$C$53*(C41-Dados!$C$52),-2*Dados!$C$54*(Dados!$C$5-C41))</f>
        <v/>
      </c>
      <c r="F41" s="65">
        <f>ATAN(E41)</f>
        <v/>
      </c>
      <c r="G41" s="65">
        <f>COS(F41)</f>
        <v/>
      </c>
      <c r="H41" s="65">
        <f>SIN(F41)</f>
        <v/>
      </c>
      <c r="I41" s="65">
        <f>ABS(F41-F40)</f>
        <v/>
      </c>
      <c r="J41" s="65">
        <f>J40+I41</f>
        <v/>
      </c>
      <c r="K41" s="64">
        <f>SQRT((B41-B40)^2+(D41-D40)^2)</f>
        <v/>
      </c>
      <c r="L41" s="66">
        <f>L40+K41</f>
        <v/>
      </c>
      <c r="M41" s="63">
        <f>Dados!$C$67*EXP(-Dados!$C$70*J41-Dados!$C$71*L41)</f>
        <v/>
      </c>
      <c r="N41" s="67">
        <f>N40+0.5*(M41+M40)*(B41-B40)</f>
        <v/>
      </c>
      <c r="O41" s="65" t="n"/>
      <c r="P41" s="63">
        <f>P15</f>
        <v/>
      </c>
      <c r="Q41" s="67">
        <f>MAX(Dados!$C$77*(Dados!$C$59*(1/Dados!$C$8+D41^2/Dados!$C$9)*P41-Esforcos!D41*D41/Dados!$C$9/1000)/(1+Dados!$C$77*Dados!$C$59*(1/Dados!$C$8+D41^2/Dados!$C$9)),0)</f>
        <v/>
      </c>
      <c r="R41" s="63">
        <f>P41-Q41</f>
        <v/>
      </c>
      <c r="S41" s="63">
        <f>Dados!$C$59*R41*1000</f>
        <v/>
      </c>
      <c r="T41" s="66">
        <f>(-S41/Dados!$C$8-S41*D41^2/Dados!$C$9+Esforcos!D41*D41/Dados!$C$9)/1000</f>
        <v/>
      </c>
      <c r="U41" s="64">
        <f>R41/Dados!$C$60</f>
        <v/>
      </c>
      <c r="V41" s="65">
        <f>IF(U41&lt;=0.5,0,IF(U41&lt;=0.6,(U41-0.5)/0.1*1.3,IF(U41&lt;=0.7,1.3+(U41-0.6)/0.1*1.2,IF(U41&lt;=0.8,2.5+(U41-0.7)/0.1*1,3.5))))/100</f>
        <v/>
      </c>
      <c r="W41" s="65">
        <f>2.5*V41</f>
        <v/>
      </c>
      <c r="X41" s="65">
        <f>-LN(1-W41)</f>
        <v/>
      </c>
      <c r="Y41" s="64">
        <f>1+D41^2*Dados!$C$8/Dados!$C$9</f>
        <v/>
      </c>
      <c r="Z41" s="63">
        <f>(ABS(Dados!$C$74)*Dados!$C$65+Dados!$C$76*ABS(T41)*Dados!$C$73+R41*X41)/((1+X41)+(1+0.5*Dados!$C$73)*Dados!$C$76*Y41*Dados!$C$78)</f>
        <v/>
      </c>
      <c r="AA41" s="63">
        <f>R41-Z41</f>
        <v/>
      </c>
      <c r="AB41" s="63">
        <f>Dados!$C$59*AA41*1000</f>
        <v/>
      </c>
      <c r="AC41" s="64">
        <f>S41/Dados!$C$68</f>
        <v/>
      </c>
      <c r="AD41" s="64">
        <f>AB41/S41</f>
        <v/>
      </c>
    </row>
    <row r="42" ht="15" customHeight="1" s="47">
      <c r="A42" s="62" t="n">
        <v>34</v>
      </c>
      <c r="B42" s="63">
        <f>A42*0.5</f>
        <v/>
      </c>
      <c r="C42" s="63">
        <f>IF(B42&lt;=Dados!$C$5,B42,2*Dados!$C$5-B42)</f>
        <v/>
      </c>
      <c r="D42" s="64">
        <f>IF(C42&lt;=Dados!$C$47,Dados!$C$44-Dados!$C$53*(C42-Dados!$C$52)^2,-Dados!$C$45+Dados!$C$54*(Dados!$C$5-C42)^2)</f>
        <v/>
      </c>
      <c r="E42" s="65">
        <f>IF(B42&lt;=Dados!$C$5,1,-1)*IF(C42&lt;=Dados!$C$47,-2*Dados!$C$53*(C42-Dados!$C$52),-2*Dados!$C$54*(Dados!$C$5-C42))</f>
        <v/>
      </c>
      <c r="F42" s="65">
        <f>ATAN(E42)</f>
        <v/>
      </c>
      <c r="G42" s="65">
        <f>COS(F42)</f>
        <v/>
      </c>
      <c r="H42" s="65">
        <f>SIN(F42)</f>
        <v/>
      </c>
      <c r="I42" s="65">
        <f>ABS(F42-F41)</f>
        <v/>
      </c>
      <c r="J42" s="65">
        <f>J41+I42</f>
        <v/>
      </c>
      <c r="K42" s="64">
        <f>SQRT((B42-B41)^2+(D42-D41)^2)</f>
        <v/>
      </c>
      <c r="L42" s="66">
        <f>L41+K42</f>
        <v/>
      </c>
      <c r="M42" s="63">
        <f>Dados!$C$67*EXP(-Dados!$C$70*J42-Dados!$C$71*L42)</f>
        <v/>
      </c>
      <c r="N42" s="67">
        <f>N41+0.5*(M42+M41)*(B42-B41)</f>
        <v/>
      </c>
      <c r="O42" s="65" t="n"/>
      <c r="P42" s="63">
        <f>P14</f>
        <v/>
      </c>
      <c r="Q42" s="67">
        <f>MAX(Dados!$C$77*(Dados!$C$59*(1/Dados!$C$8+D42^2/Dados!$C$9)*P42-Esforcos!D42*D42/Dados!$C$9/1000)/(1+Dados!$C$77*Dados!$C$59*(1/Dados!$C$8+D42^2/Dados!$C$9)),0)</f>
        <v/>
      </c>
      <c r="R42" s="63">
        <f>P42-Q42</f>
        <v/>
      </c>
      <c r="S42" s="63">
        <f>Dados!$C$59*R42*1000</f>
        <v/>
      </c>
      <c r="T42" s="66">
        <f>(-S42/Dados!$C$8-S42*D42^2/Dados!$C$9+Esforcos!D42*D42/Dados!$C$9)/1000</f>
        <v/>
      </c>
      <c r="U42" s="64">
        <f>R42/Dados!$C$60</f>
        <v/>
      </c>
      <c r="V42" s="65">
        <f>IF(U42&lt;=0.5,0,IF(U42&lt;=0.6,(U42-0.5)/0.1*1.3,IF(U42&lt;=0.7,1.3+(U42-0.6)/0.1*1.2,IF(U42&lt;=0.8,2.5+(U42-0.7)/0.1*1,3.5))))/100</f>
        <v/>
      </c>
      <c r="W42" s="65">
        <f>2.5*V42</f>
        <v/>
      </c>
      <c r="X42" s="65">
        <f>-LN(1-W42)</f>
        <v/>
      </c>
      <c r="Y42" s="64">
        <f>1+D42^2*Dados!$C$8/Dados!$C$9</f>
        <v/>
      </c>
      <c r="Z42" s="63">
        <f>(ABS(Dados!$C$74)*Dados!$C$65+Dados!$C$76*ABS(T42)*Dados!$C$73+R42*X42)/((1+X42)+(1+0.5*Dados!$C$73)*Dados!$C$76*Y42*Dados!$C$78)</f>
        <v/>
      </c>
      <c r="AA42" s="63">
        <f>R42-Z42</f>
        <v/>
      </c>
      <c r="AB42" s="63">
        <f>Dados!$C$59*AA42*1000</f>
        <v/>
      </c>
      <c r="AC42" s="64">
        <f>S42/Dados!$C$68</f>
        <v/>
      </c>
      <c r="AD42" s="64">
        <f>AB42/S42</f>
        <v/>
      </c>
    </row>
    <row r="43" ht="15" customHeight="1" s="47">
      <c r="A43" s="62" t="n">
        <v>35</v>
      </c>
      <c r="B43" s="63">
        <f>A43*0.5</f>
        <v/>
      </c>
      <c r="C43" s="63">
        <f>IF(B43&lt;=Dados!$C$5,B43,2*Dados!$C$5-B43)</f>
        <v/>
      </c>
      <c r="D43" s="64">
        <f>IF(C43&lt;=Dados!$C$47,Dados!$C$44-Dados!$C$53*(C43-Dados!$C$52)^2,-Dados!$C$45+Dados!$C$54*(Dados!$C$5-C43)^2)</f>
        <v/>
      </c>
      <c r="E43" s="65">
        <f>IF(B43&lt;=Dados!$C$5,1,-1)*IF(C43&lt;=Dados!$C$47,-2*Dados!$C$53*(C43-Dados!$C$52),-2*Dados!$C$54*(Dados!$C$5-C43))</f>
        <v/>
      </c>
      <c r="F43" s="65">
        <f>ATAN(E43)</f>
        <v/>
      </c>
      <c r="G43" s="65">
        <f>COS(F43)</f>
        <v/>
      </c>
      <c r="H43" s="65">
        <f>SIN(F43)</f>
        <v/>
      </c>
      <c r="I43" s="65">
        <f>ABS(F43-F42)</f>
        <v/>
      </c>
      <c r="J43" s="65">
        <f>J42+I43</f>
        <v/>
      </c>
      <c r="K43" s="64">
        <f>SQRT((B43-B42)^2+(D43-D42)^2)</f>
        <v/>
      </c>
      <c r="L43" s="66">
        <f>L42+K43</f>
        <v/>
      </c>
      <c r="M43" s="63">
        <f>Dados!$C$67*EXP(-Dados!$C$70*J43-Dados!$C$71*L43)</f>
        <v/>
      </c>
      <c r="N43" s="67">
        <f>N42+0.5*(M43+M42)*(B43-B42)</f>
        <v/>
      </c>
      <c r="O43" s="65" t="n"/>
      <c r="P43" s="63">
        <f>P13</f>
        <v/>
      </c>
      <c r="Q43" s="67">
        <f>MAX(Dados!$C$77*(Dados!$C$59*(1/Dados!$C$8+D43^2/Dados!$C$9)*P43-Esforcos!D43*D43/Dados!$C$9/1000)/(1+Dados!$C$77*Dados!$C$59*(1/Dados!$C$8+D43^2/Dados!$C$9)),0)</f>
        <v/>
      </c>
      <c r="R43" s="63">
        <f>P43-Q43</f>
        <v/>
      </c>
      <c r="S43" s="63">
        <f>Dados!$C$59*R43*1000</f>
        <v/>
      </c>
      <c r="T43" s="66">
        <f>(-S43/Dados!$C$8-S43*D43^2/Dados!$C$9+Esforcos!D43*D43/Dados!$C$9)/1000</f>
        <v/>
      </c>
      <c r="U43" s="64">
        <f>R43/Dados!$C$60</f>
        <v/>
      </c>
      <c r="V43" s="65">
        <f>IF(U43&lt;=0.5,0,IF(U43&lt;=0.6,(U43-0.5)/0.1*1.3,IF(U43&lt;=0.7,1.3+(U43-0.6)/0.1*1.2,IF(U43&lt;=0.8,2.5+(U43-0.7)/0.1*1,3.5))))/100</f>
        <v/>
      </c>
      <c r="W43" s="65">
        <f>2.5*V43</f>
        <v/>
      </c>
      <c r="X43" s="65">
        <f>-LN(1-W43)</f>
        <v/>
      </c>
      <c r="Y43" s="64">
        <f>1+D43^2*Dados!$C$8/Dados!$C$9</f>
        <v/>
      </c>
      <c r="Z43" s="63">
        <f>(ABS(Dados!$C$74)*Dados!$C$65+Dados!$C$76*ABS(T43)*Dados!$C$73+R43*X43)/((1+X43)+(1+0.5*Dados!$C$73)*Dados!$C$76*Y43*Dados!$C$78)</f>
        <v/>
      </c>
      <c r="AA43" s="63">
        <f>R43-Z43</f>
        <v/>
      </c>
      <c r="AB43" s="63">
        <f>Dados!$C$59*AA43*1000</f>
        <v/>
      </c>
      <c r="AC43" s="64">
        <f>S43/Dados!$C$68</f>
        <v/>
      </c>
      <c r="AD43" s="64">
        <f>AB43/S43</f>
        <v/>
      </c>
    </row>
    <row r="44" ht="15" customHeight="1" s="47">
      <c r="A44" s="62" t="n">
        <v>36</v>
      </c>
      <c r="B44" s="63">
        <f>A44*0.5</f>
        <v/>
      </c>
      <c r="C44" s="63">
        <f>IF(B44&lt;=Dados!$C$5,B44,2*Dados!$C$5-B44)</f>
        <v/>
      </c>
      <c r="D44" s="64">
        <f>IF(C44&lt;=Dados!$C$47,Dados!$C$44-Dados!$C$53*(C44-Dados!$C$52)^2,-Dados!$C$45+Dados!$C$54*(Dados!$C$5-C44)^2)</f>
        <v/>
      </c>
      <c r="E44" s="65">
        <f>IF(B44&lt;=Dados!$C$5,1,-1)*IF(C44&lt;=Dados!$C$47,-2*Dados!$C$53*(C44-Dados!$C$52),-2*Dados!$C$54*(Dados!$C$5-C44))</f>
        <v/>
      </c>
      <c r="F44" s="65">
        <f>ATAN(E44)</f>
        <v/>
      </c>
      <c r="G44" s="65">
        <f>COS(F44)</f>
        <v/>
      </c>
      <c r="H44" s="65">
        <f>SIN(F44)</f>
        <v/>
      </c>
      <c r="I44" s="65">
        <f>ABS(F44-F43)</f>
        <v/>
      </c>
      <c r="J44" s="65">
        <f>J43+I44</f>
        <v/>
      </c>
      <c r="K44" s="64">
        <f>SQRT((B44-B43)^2+(D44-D43)^2)</f>
        <v/>
      </c>
      <c r="L44" s="66">
        <f>L43+K44</f>
        <v/>
      </c>
      <c r="M44" s="63">
        <f>Dados!$C$67*EXP(-Dados!$C$70*J44-Dados!$C$71*L44)</f>
        <v/>
      </c>
      <c r="N44" s="67">
        <f>N43+0.5*(M44+M43)*(B44-B43)</f>
        <v/>
      </c>
      <c r="O44" s="65" t="n"/>
      <c r="P44" s="63">
        <f>P12</f>
        <v/>
      </c>
      <c r="Q44" s="67">
        <f>MAX(Dados!$C$77*(Dados!$C$59*(1/Dados!$C$8+D44^2/Dados!$C$9)*P44-Esforcos!D44*D44/Dados!$C$9/1000)/(1+Dados!$C$77*Dados!$C$59*(1/Dados!$C$8+D44^2/Dados!$C$9)),0)</f>
        <v/>
      </c>
      <c r="R44" s="63">
        <f>P44-Q44</f>
        <v/>
      </c>
      <c r="S44" s="63">
        <f>Dados!$C$59*R44*1000</f>
        <v/>
      </c>
      <c r="T44" s="66">
        <f>(-S44/Dados!$C$8-S44*D44^2/Dados!$C$9+Esforcos!D44*D44/Dados!$C$9)/1000</f>
        <v/>
      </c>
      <c r="U44" s="64">
        <f>R44/Dados!$C$60</f>
        <v/>
      </c>
      <c r="V44" s="65">
        <f>IF(U44&lt;=0.5,0,IF(U44&lt;=0.6,(U44-0.5)/0.1*1.3,IF(U44&lt;=0.7,1.3+(U44-0.6)/0.1*1.2,IF(U44&lt;=0.8,2.5+(U44-0.7)/0.1*1,3.5))))/100</f>
        <v/>
      </c>
      <c r="W44" s="65">
        <f>2.5*V44</f>
        <v/>
      </c>
      <c r="X44" s="65">
        <f>-LN(1-W44)</f>
        <v/>
      </c>
      <c r="Y44" s="64">
        <f>1+D44^2*Dados!$C$8/Dados!$C$9</f>
        <v/>
      </c>
      <c r="Z44" s="63">
        <f>(ABS(Dados!$C$74)*Dados!$C$65+Dados!$C$76*ABS(T44)*Dados!$C$73+R44*X44)/((1+X44)+(1+0.5*Dados!$C$73)*Dados!$C$76*Y44*Dados!$C$78)</f>
        <v/>
      </c>
      <c r="AA44" s="63">
        <f>R44-Z44</f>
        <v/>
      </c>
      <c r="AB44" s="63">
        <f>Dados!$C$59*AA44*1000</f>
        <v/>
      </c>
      <c r="AC44" s="64">
        <f>S44/Dados!$C$68</f>
        <v/>
      </c>
      <c r="AD44" s="64">
        <f>AB44/S44</f>
        <v/>
      </c>
    </row>
    <row r="45" ht="15" customHeight="1" s="47">
      <c r="A45" s="62" t="n">
        <v>37</v>
      </c>
      <c r="B45" s="63">
        <f>A45*0.5</f>
        <v/>
      </c>
      <c r="C45" s="63">
        <f>IF(B45&lt;=Dados!$C$5,B45,2*Dados!$C$5-B45)</f>
        <v/>
      </c>
      <c r="D45" s="64">
        <f>IF(C45&lt;=Dados!$C$47,Dados!$C$44-Dados!$C$53*(C45-Dados!$C$52)^2,-Dados!$C$45+Dados!$C$54*(Dados!$C$5-C45)^2)</f>
        <v/>
      </c>
      <c r="E45" s="65">
        <f>IF(B45&lt;=Dados!$C$5,1,-1)*IF(C45&lt;=Dados!$C$47,-2*Dados!$C$53*(C45-Dados!$C$52),-2*Dados!$C$54*(Dados!$C$5-C45))</f>
        <v/>
      </c>
      <c r="F45" s="65">
        <f>ATAN(E45)</f>
        <v/>
      </c>
      <c r="G45" s="65">
        <f>COS(F45)</f>
        <v/>
      </c>
      <c r="H45" s="65">
        <f>SIN(F45)</f>
        <v/>
      </c>
      <c r="I45" s="65">
        <f>ABS(F45-F44)</f>
        <v/>
      </c>
      <c r="J45" s="65">
        <f>J44+I45</f>
        <v/>
      </c>
      <c r="K45" s="64">
        <f>SQRT((B45-B44)^2+(D45-D44)^2)</f>
        <v/>
      </c>
      <c r="L45" s="66">
        <f>L44+K45</f>
        <v/>
      </c>
      <c r="M45" s="63">
        <f>Dados!$C$67*EXP(-Dados!$C$70*J45-Dados!$C$71*L45)</f>
        <v/>
      </c>
      <c r="N45" s="67">
        <f>N44+0.5*(M45+M44)*(B45-B44)</f>
        <v/>
      </c>
      <c r="O45" s="65" t="n"/>
      <c r="P45" s="63">
        <f>P11</f>
        <v/>
      </c>
      <c r="Q45" s="67">
        <f>MAX(Dados!$C$77*(Dados!$C$59*(1/Dados!$C$8+D45^2/Dados!$C$9)*P45-Esforcos!D45*D45/Dados!$C$9/1000)/(1+Dados!$C$77*Dados!$C$59*(1/Dados!$C$8+D45^2/Dados!$C$9)),0)</f>
        <v/>
      </c>
      <c r="R45" s="63">
        <f>P45-Q45</f>
        <v/>
      </c>
      <c r="S45" s="63">
        <f>Dados!$C$59*R45*1000</f>
        <v/>
      </c>
      <c r="T45" s="66">
        <f>(-S45/Dados!$C$8-S45*D45^2/Dados!$C$9+Esforcos!D45*D45/Dados!$C$9)/1000</f>
        <v/>
      </c>
      <c r="U45" s="64">
        <f>R45/Dados!$C$60</f>
        <v/>
      </c>
      <c r="V45" s="65">
        <f>IF(U45&lt;=0.5,0,IF(U45&lt;=0.6,(U45-0.5)/0.1*1.3,IF(U45&lt;=0.7,1.3+(U45-0.6)/0.1*1.2,IF(U45&lt;=0.8,2.5+(U45-0.7)/0.1*1,3.5))))/100</f>
        <v/>
      </c>
      <c r="W45" s="65">
        <f>2.5*V45</f>
        <v/>
      </c>
      <c r="X45" s="65">
        <f>-LN(1-W45)</f>
        <v/>
      </c>
      <c r="Y45" s="64">
        <f>1+D45^2*Dados!$C$8/Dados!$C$9</f>
        <v/>
      </c>
      <c r="Z45" s="63">
        <f>(ABS(Dados!$C$74)*Dados!$C$65+Dados!$C$76*ABS(T45)*Dados!$C$73+R45*X45)/((1+X45)+(1+0.5*Dados!$C$73)*Dados!$C$76*Y45*Dados!$C$78)</f>
        <v/>
      </c>
      <c r="AA45" s="63">
        <f>R45-Z45</f>
        <v/>
      </c>
      <c r="AB45" s="63">
        <f>Dados!$C$59*AA45*1000</f>
        <v/>
      </c>
      <c r="AC45" s="64">
        <f>S45/Dados!$C$68</f>
        <v/>
      </c>
      <c r="AD45" s="64">
        <f>AB45/S45</f>
        <v/>
      </c>
    </row>
    <row r="46" ht="15" customHeight="1" s="47">
      <c r="A46" s="62" t="n">
        <v>38</v>
      </c>
      <c r="B46" s="63">
        <f>A46*0.5</f>
        <v/>
      </c>
      <c r="C46" s="63">
        <f>IF(B46&lt;=Dados!$C$5,B46,2*Dados!$C$5-B46)</f>
        <v/>
      </c>
      <c r="D46" s="64">
        <f>IF(C46&lt;=Dados!$C$47,Dados!$C$44-Dados!$C$53*(C46-Dados!$C$52)^2,-Dados!$C$45+Dados!$C$54*(Dados!$C$5-C46)^2)</f>
        <v/>
      </c>
      <c r="E46" s="65">
        <f>IF(B46&lt;=Dados!$C$5,1,-1)*IF(C46&lt;=Dados!$C$47,-2*Dados!$C$53*(C46-Dados!$C$52),-2*Dados!$C$54*(Dados!$C$5-C46))</f>
        <v/>
      </c>
      <c r="F46" s="65">
        <f>ATAN(E46)</f>
        <v/>
      </c>
      <c r="G46" s="65">
        <f>COS(F46)</f>
        <v/>
      </c>
      <c r="H46" s="65">
        <f>SIN(F46)</f>
        <v/>
      </c>
      <c r="I46" s="65">
        <f>ABS(F46-F45)</f>
        <v/>
      </c>
      <c r="J46" s="65">
        <f>J45+I46</f>
        <v/>
      </c>
      <c r="K46" s="64">
        <f>SQRT((B46-B45)^2+(D46-D45)^2)</f>
        <v/>
      </c>
      <c r="L46" s="66">
        <f>L45+K46</f>
        <v/>
      </c>
      <c r="M46" s="63">
        <f>Dados!$C$67*EXP(-Dados!$C$70*J46-Dados!$C$71*L46)</f>
        <v/>
      </c>
      <c r="N46" s="67">
        <f>N45+0.5*(M46+M45)*(B46-B45)</f>
        <v/>
      </c>
      <c r="O46" s="65" t="n"/>
      <c r="P46" s="63">
        <f>P10</f>
        <v/>
      </c>
      <c r="Q46" s="67">
        <f>MAX(Dados!$C$77*(Dados!$C$59*(1/Dados!$C$8+D46^2/Dados!$C$9)*P46-Esforcos!D46*D46/Dados!$C$9/1000)/(1+Dados!$C$77*Dados!$C$59*(1/Dados!$C$8+D46^2/Dados!$C$9)),0)</f>
        <v/>
      </c>
      <c r="R46" s="63">
        <f>P46-Q46</f>
        <v/>
      </c>
      <c r="S46" s="63">
        <f>Dados!$C$59*R46*1000</f>
        <v/>
      </c>
      <c r="T46" s="66">
        <f>(-S46/Dados!$C$8-S46*D46^2/Dados!$C$9+Esforcos!D46*D46/Dados!$C$9)/1000</f>
        <v/>
      </c>
      <c r="U46" s="64">
        <f>R46/Dados!$C$60</f>
        <v/>
      </c>
      <c r="V46" s="65">
        <f>IF(U46&lt;=0.5,0,IF(U46&lt;=0.6,(U46-0.5)/0.1*1.3,IF(U46&lt;=0.7,1.3+(U46-0.6)/0.1*1.2,IF(U46&lt;=0.8,2.5+(U46-0.7)/0.1*1,3.5))))/100</f>
        <v/>
      </c>
      <c r="W46" s="65">
        <f>2.5*V46</f>
        <v/>
      </c>
      <c r="X46" s="65">
        <f>-LN(1-W46)</f>
        <v/>
      </c>
      <c r="Y46" s="64">
        <f>1+D46^2*Dados!$C$8/Dados!$C$9</f>
        <v/>
      </c>
      <c r="Z46" s="63">
        <f>(ABS(Dados!$C$74)*Dados!$C$65+Dados!$C$76*ABS(T46)*Dados!$C$73+R46*X46)/((1+X46)+(1+0.5*Dados!$C$73)*Dados!$C$76*Y46*Dados!$C$78)</f>
        <v/>
      </c>
      <c r="AA46" s="63">
        <f>R46-Z46</f>
        <v/>
      </c>
      <c r="AB46" s="63">
        <f>Dados!$C$59*AA46*1000</f>
        <v/>
      </c>
      <c r="AC46" s="64">
        <f>S46/Dados!$C$68</f>
        <v/>
      </c>
      <c r="AD46" s="64">
        <f>AB46/S46</f>
        <v/>
      </c>
    </row>
    <row r="47" ht="15" customHeight="1" s="47">
      <c r="A47" s="62" t="n">
        <v>39</v>
      </c>
      <c r="B47" s="63">
        <f>A47*0.5</f>
        <v/>
      </c>
      <c r="C47" s="63">
        <f>IF(B47&lt;=Dados!$C$5,B47,2*Dados!$C$5-B47)</f>
        <v/>
      </c>
      <c r="D47" s="64">
        <f>IF(C47&lt;=Dados!$C$47,Dados!$C$44-Dados!$C$53*(C47-Dados!$C$52)^2,-Dados!$C$45+Dados!$C$54*(Dados!$C$5-C47)^2)</f>
        <v/>
      </c>
      <c r="E47" s="65">
        <f>IF(B47&lt;=Dados!$C$5,1,-1)*IF(C47&lt;=Dados!$C$47,-2*Dados!$C$53*(C47-Dados!$C$52),-2*Dados!$C$54*(Dados!$C$5-C47))</f>
        <v/>
      </c>
      <c r="F47" s="65">
        <f>ATAN(E47)</f>
        <v/>
      </c>
      <c r="G47" s="65">
        <f>COS(F47)</f>
        <v/>
      </c>
      <c r="H47" s="65">
        <f>SIN(F47)</f>
        <v/>
      </c>
      <c r="I47" s="65">
        <f>ABS(F47-F46)</f>
        <v/>
      </c>
      <c r="J47" s="65">
        <f>J46+I47</f>
        <v/>
      </c>
      <c r="K47" s="64">
        <f>SQRT((B47-B46)^2+(D47-D46)^2)</f>
        <v/>
      </c>
      <c r="L47" s="66">
        <f>L46+K47</f>
        <v/>
      </c>
      <c r="M47" s="63">
        <f>Dados!$C$67*EXP(-Dados!$C$70*J47-Dados!$C$71*L47)</f>
        <v/>
      </c>
      <c r="N47" s="67">
        <f>N46+0.5*(M47+M46)*(B47-B46)</f>
        <v/>
      </c>
      <c r="O47" s="65" t="n"/>
      <c r="P47" s="63">
        <f>P9</f>
        <v/>
      </c>
      <c r="Q47" s="67">
        <f>MAX(Dados!$C$77*(Dados!$C$59*(1/Dados!$C$8+D47^2/Dados!$C$9)*P47-Esforcos!D47*D47/Dados!$C$9/1000)/(1+Dados!$C$77*Dados!$C$59*(1/Dados!$C$8+D47^2/Dados!$C$9)),0)</f>
        <v/>
      </c>
      <c r="R47" s="63">
        <f>P47-Q47</f>
        <v/>
      </c>
      <c r="S47" s="63">
        <f>Dados!$C$59*R47*1000</f>
        <v/>
      </c>
      <c r="T47" s="66">
        <f>(-S47/Dados!$C$8-S47*D47^2/Dados!$C$9+Esforcos!D47*D47/Dados!$C$9)/1000</f>
        <v/>
      </c>
      <c r="U47" s="64">
        <f>R47/Dados!$C$60</f>
        <v/>
      </c>
      <c r="V47" s="65">
        <f>IF(U47&lt;=0.5,0,IF(U47&lt;=0.6,(U47-0.5)/0.1*1.3,IF(U47&lt;=0.7,1.3+(U47-0.6)/0.1*1.2,IF(U47&lt;=0.8,2.5+(U47-0.7)/0.1*1,3.5))))/100</f>
        <v/>
      </c>
      <c r="W47" s="65">
        <f>2.5*V47</f>
        <v/>
      </c>
      <c r="X47" s="65">
        <f>-LN(1-W47)</f>
        <v/>
      </c>
      <c r="Y47" s="64">
        <f>1+D47^2*Dados!$C$8/Dados!$C$9</f>
        <v/>
      </c>
      <c r="Z47" s="63">
        <f>(ABS(Dados!$C$74)*Dados!$C$65+Dados!$C$76*ABS(T47)*Dados!$C$73+R47*X47)/((1+X47)+(1+0.5*Dados!$C$73)*Dados!$C$76*Y47*Dados!$C$78)</f>
        <v/>
      </c>
      <c r="AA47" s="63">
        <f>R47-Z47</f>
        <v/>
      </c>
      <c r="AB47" s="63">
        <f>Dados!$C$59*AA47*1000</f>
        <v/>
      </c>
      <c r="AC47" s="64">
        <f>S47/Dados!$C$68</f>
        <v/>
      </c>
      <c r="AD47" s="64">
        <f>AB47/S47</f>
        <v/>
      </c>
    </row>
    <row r="48" ht="15" customHeight="1" s="47">
      <c r="A48" s="62" t="n">
        <v>40</v>
      </c>
      <c r="B48" s="63">
        <f>A48*0.5</f>
        <v/>
      </c>
      <c r="C48" s="63">
        <f>IF(B48&lt;=Dados!$C$5,B48,2*Dados!$C$5-B48)</f>
        <v/>
      </c>
      <c r="D48" s="64">
        <f>IF(C48&lt;=Dados!$C$47,Dados!$C$44-Dados!$C$53*(C48-Dados!$C$52)^2,-Dados!$C$45+Dados!$C$54*(Dados!$C$5-C48)^2)</f>
        <v/>
      </c>
      <c r="E48" s="65">
        <f>IF(B48&lt;=Dados!$C$5,1,-1)*IF(C48&lt;=Dados!$C$47,-2*Dados!$C$53*(C48-Dados!$C$52),-2*Dados!$C$54*(Dados!$C$5-C48))</f>
        <v/>
      </c>
      <c r="F48" s="65">
        <f>ATAN(E48)</f>
        <v/>
      </c>
      <c r="G48" s="65">
        <f>COS(F48)</f>
        <v/>
      </c>
      <c r="H48" s="65">
        <f>SIN(F48)</f>
        <v/>
      </c>
      <c r="I48" s="65">
        <f>ABS(F48-F47)</f>
        <v/>
      </c>
      <c r="J48" s="65">
        <f>J47+I48</f>
        <v/>
      </c>
      <c r="K48" s="64">
        <f>SQRT((B48-B47)^2+(D48-D47)^2)</f>
        <v/>
      </c>
      <c r="L48" s="66">
        <f>L47+K48</f>
        <v/>
      </c>
      <c r="M48" s="63">
        <f>Dados!$C$67*EXP(-Dados!$C$70*J48-Dados!$C$71*L48)</f>
        <v/>
      </c>
      <c r="N48" s="67">
        <f>N47+0.5*(M48+M47)*(B48-B47)</f>
        <v/>
      </c>
      <c r="O48" s="65" t="n"/>
      <c r="P48" s="63">
        <f>P8</f>
        <v/>
      </c>
      <c r="Q48" s="67">
        <f>MAX(Dados!$C$77*(Dados!$C$59*(1/Dados!$C$8+D48^2/Dados!$C$9)*P48-Esforcos!D48*D48/Dados!$C$9/1000)/(1+Dados!$C$77*Dados!$C$59*(1/Dados!$C$8+D48^2/Dados!$C$9)),0)</f>
        <v/>
      </c>
      <c r="R48" s="63">
        <f>P48-Q48</f>
        <v/>
      </c>
      <c r="S48" s="63">
        <f>Dados!$C$59*R48*1000</f>
        <v/>
      </c>
      <c r="T48" s="66">
        <f>(-S48/Dados!$C$8-S48*D48^2/Dados!$C$9+Esforcos!D48*D48/Dados!$C$9)/1000</f>
        <v/>
      </c>
      <c r="U48" s="64">
        <f>R48/Dados!$C$60</f>
        <v/>
      </c>
      <c r="V48" s="65">
        <f>IF(U48&lt;=0.5,0,IF(U48&lt;=0.6,(U48-0.5)/0.1*1.3,IF(U48&lt;=0.7,1.3+(U48-0.6)/0.1*1.2,IF(U48&lt;=0.8,2.5+(U48-0.7)/0.1*1,3.5))))/100</f>
        <v/>
      </c>
      <c r="W48" s="65">
        <f>2.5*V48</f>
        <v/>
      </c>
      <c r="X48" s="65">
        <f>-LN(1-W48)</f>
        <v/>
      </c>
      <c r="Y48" s="64">
        <f>1+D48^2*Dados!$C$8/Dados!$C$9</f>
        <v/>
      </c>
      <c r="Z48" s="63">
        <f>(ABS(Dados!$C$74)*Dados!$C$65+Dados!$C$76*ABS(T48)*Dados!$C$73+R48*X48)/((1+X48)+(1+0.5*Dados!$C$73)*Dados!$C$76*Y48*Dados!$C$78)</f>
        <v/>
      </c>
      <c r="AA48" s="63">
        <f>R48-Z48</f>
        <v/>
      </c>
      <c r="AB48" s="63">
        <f>Dados!$C$59*AA48*1000</f>
        <v/>
      </c>
      <c r="AC48" s="64">
        <f>S48/Dados!$C$68</f>
        <v/>
      </c>
      <c r="AD48" s="64">
        <f>AB48/S48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J4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46" min="1" max="1"/>
    <col width="16" customWidth="1" style="46" min="2" max="2"/>
    <col width="11" customWidth="1" style="46" min="3" max="8"/>
  </cols>
  <sheetData>
    <row r="1" ht="16.15" customHeight="1" s="47">
      <c r="A1" s="59" t="inlineStr">
        <is>
          <t>Efeito hiperestático da protensão (momento secundário) - viga de 2 vãos</t>
        </is>
      </c>
    </row>
    <row r="2" ht="15" customHeight="1" s="47">
      <c r="A2" s="49" t="inlineStr">
        <is>
          <t>Método das forças: retira-se o apoio B; R_B = 6·∫M_iso·m dx / L³ (EI constante). M_hip(x) = -R_B·m(x). Convenção: M positivo = tração embaixo.</t>
        </is>
      </c>
    </row>
    <row r="3" ht="15" customHeight="1" s="47">
      <c r="F3" s="68" t="inlineStr">
        <is>
          <t>R_B (ato) [kN]</t>
        </is>
      </c>
      <c r="G3" s="46" t="inlineStr">
        <is>
          <t>R_B&gt;0: reação p/ cima</t>
        </is>
      </c>
      <c r="H3" s="69">
        <f>6*0.5*(SUM(D8:D48)-0.5*(D8+D48))/Dados!$C$5^3</f>
        <v/>
      </c>
      <c r="I3" s="46" t="inlineStr">
        <is>
          <t>M_hip em B (ato) =</t>
        </is>
      </c>
      <c r="J3" s="69">
        <f>-H3*Dados!$C$5/2</f>
        <v/>
      </c>
    </row>
    <row r="4" ht="15" customHeight="1" s="47">
      <c r="F4" s="68" t="inlineStr">
        <is>
          <t>R_B (∞) [kN]</t>
        </is>
      </c>
      <c r="H4" s="69">
        <f>6*0.5*(SUM(F8:F48)-0.5*(F8+F48))/Dados!$C$5^3</f>
        <v/>
      </c>
      <c r="I4" s="46" t="inlineStr">
        <is>
          <t>M_hip em B (∞) =</t>
        </is>
      </c>
      <c r="J4" s="69">
        <f>-H4*Dados!$C$5/2</f>
        <v/>
      </c>
    </row>
    <row r="6" ht="31.5" customHeight="1" s="47">
      <c r="A6" s="60" t="inlineStr">
        <is>
          <t>x</t>
        </is>
      </c>
      <c r="B6" s="60" t="inlineStr">
        <is>
          <t>m(x) = momento da carga unitária em B</t>
        </is>
      </c>
      <c r="C6" s="60" t="inlineStr">
        <is>
          <t>M_iso,i = -Pi·cosα·e</t>
        </is>
      </c>
      <c r="D6" s="60" t="inlineStr">
        <is>
          <t>M_iso,i·m</t>
        </is>
      </c>
      <c r="E6" s="60" t="inlineStr">
        <is>
          <t>M_iso,∞ = -P∞·cosα·e</t>
        </is>
      </c>
      <c r="F6" s="60" t="inlineStr">
        <is>
          <t>M_iso,∞·m</t>
        </is>
      </c>
      <c r="G6" s="60" t="inlineStr">
        <is>
          <t>M_hip,i</t>
        </is>
      </c>
      <c r="H6" s="60" t="inlineStr">
        <is>
          <t>M_hip,∞</t>
        </is>
      </c>
    </row>
    <row r="7" ht="15" customHeight="1" s="47">
      <c r="A7" s="61" t="inlineStr">
        <is>
          <t>m</t>
        </is>
      </c>
      <c r="B7" s="61" t="inlineStr">
        <is>
          <t>m</t>
        </is>
      </c>
      <c r="C7" s="61" t="inlineStr">
        <is>
          <t>kN·m</t>
        </is>
      </c>
      <c r="D7" s="61" t="n"/>
      <c r="E7" s="61" t="inlineStr">
        <is>
          <t>kN·m</t>
        </is>
      </c>
      <c r="F7" s="61" t="n"/>
      <c r="G7" s="61" t="inlineStr">
        <is>
          <t>kN·m</t>
        </is>
      </c>
      <c r="H7" s="61" t="inlineStr">
        <is>
          <t>kN·m</t>
        </is>
      </c>
    </row>
    <row r="8" ht="15" customHeight="1" s="47">
      <c r="A8" s="63">
        <f>Tracado_Perdas!B8</f>
        <v/>
      </c>
      <c r="B8" s="66">
        <f>IF(A8&lt;=Dados!$C$5,A8/2,(2*Dados!$C$5-A8)/2)</f>
        <v/>
      </c>
      <c r="C8" s="67">
        <f>-Tracado_Perdas!S8*Tracado_Perdas!G8*Tracado_Perdas!D8</f>
        <v/>
      </c>
      <c r="D8" s="66">
        <f>C8*B8</f>
        <v/>
      </c>
      <c r="E8" s="67">
        <f>-Tracado_Perdas!AB8*Tracado_Perdas!G8*Tracado_Perdas!D8</f>
        <v/>
      </c>
      <c r="F8" s="66">
        <f>E8*B8</f>
        <v/>
      </c>
      <c r="G8" s="67">
        <f>-$H$3*B8</f>
        <v/>
      </c>
      <c r="H8" s="67">
        <f>-$H$4*B8</f>
        <v/>
      </c>
    </row>
    <row r="9" ht="15" customHeight="1" s="47">
      <c r="A9" s="63">
        <f>Tracado_Perdas!B9</f>
        <v/>
      </c>
      <c r="B9" s="66">
        <f>IF(A9&lt;=Dados!$C$5,A9/2,(2*Dados!$C$5-A9)/2)</f>
        <v/>
      </c>
      <c r="C9" s="67">
        <f>-Tracado_Perdas!S9*Tracado_Perdas!G9*Tracado_Perdas!D9</f>
        <v/>
      </c>
      <c r="D9" s="66">
        <f>C9*B9</f>
        <v/>
      </c>
      <c r="E9" s="67">
        <f>-Tracado_Perdas!AB9*Tracado_Perdas!G9*Tracado_Perdas!D9</f>
        <v/>
      </c>
      <c r="F9" s="66">
        <f>E9*B9</f>
        <v/>
      </c>
      <c r="G9" s="67">
        <f>-$H$3*B9</f>
        <v/>
      </c>
      <c r="H9" s="67">
        <f>-$H$4*B9</f>
        <v/>
      </c>
    </row>
    <row r="10" ht="15" customHeight="1" s="47">
      <c r="A10" s="63">
        <f>Tracado_Perdas!B10</f>
        <v/>
      </c>
      <c r="B10" s="66">
        <f>IF(A10&lt;=Dados!$C$5,A10/2,(2*Dados!$C$5-A10)/2)</f>
        <v/>
      </c>
      <c r="C10" s="67">
        <f>-Tracado_Perdas!S10*Tracado_Perdas!G10*Tracado_Perdas!D10</f>
        <v/>
      </c>
      <c r="D10" s="66">
        <f>C10*B10</f>
        <v/>
      </c>
      <c r="E10" s="67">
        <f>-Tracado_Perdas!AB10*Tracado_Perdas!G10*Tracado_Perdas!D10</f>
        <v/>
      </c>
      <c r="F10" s="66">
        <f>E10*B10</f>
        <v/>
      </c>
      <c r="G10" s="67">
        <f>-$H$3*B10</f>
        <v/>
      </c>
      <c r="H10" s="67">
        <f>-$H$4*B10</f>
        <v/>
      </c>
    </row>
    <row r="11" ht="15" customHeight="1" s="47">
      <c r="A11" s="63">
        <f>Tracado_Perdas!B11</f>
        <v/>
      </c>
      <c r="B11" s="66">
        <f>IF(A11&lt;=Dados!$C$5,A11/2,(2*Dados!$C$5-A11)/2)</f>
        <v/>
      </c>
      <c r="C11" s="67">
        <f>-Tracado_Perdas!S11*Tracado_Perdas!G11*Tracado_Perdas!D11</f>
        <v/>
      </c>
      <c r="D11" s="66">
        <f>C11*B11</f>
        <v/>
      </c>
      <c r="E11" s="67">
        <f>-Tracado_Perdas!AB11*Tracado_Perdas!G11*Tracado_Perdas!D11</f>
        <v/>
      </c>
      <c r="F11" s="66">
        <f>E11*B11</f>
        <v/>
      </c>
      <c r="G11" s="67">
        <f>-$H$3*B11</f>
        <v/>
      </c>
      <c r="H11" s="67">
        <f>-$H$4*B11</f>
        <v/>
      </c>
    </row>
    <row r="12" ht="15" customHeight="1" s="47">
      <c r="A12" s="63">
        <f>Tracado_Perdas!B12</f>
        <v/>
      </c>
      <c r="B12" s="66">
        <f>IF(A12&lt;=Dados!$C$5,A12/2,(2*Dados!$C$5-A12)/2)</f>
        <v/>
      </c>
      <c r="C12" s="67">
        <f>-Tracado_Perdas!S12*Tracado_Perdas!G12*Tracado_Perdas!D12</f>
        <v/>
      </c>
      <c r="D12" s="66">
        <f>C12*B12</f>
        <v/>
      </c>
      <c r="E12" s="67">
        <f>-Tracado_Perdas!AB12*Tracado_Perdas!G12*Tracado_Perdas!D12</f>
        <v/>
      </c>
      <c r="F12" s="66">
        <f>E12*B12</f>
        <v/>
      </c>
      <c r="G12" s="67">
        <f>-$H$3*B12</f>
        <v/>
      </c>
      <c r="H12" s="67">
        <f>-$H$4*B12</f>
        <v/>
      </c>
    </row>
    <row r="13" ht="15" customHeight="1" s="47">
      <c r="A13" s="63">
        <f>Tracado_Perdas!B13</f>
        <v/>
      </c>
      <c r="B13" s="66">
        <f>IF(A13&lt;=Dados!$C$5,A13/2,(2*Dados!$C$5-A13)/2)</f>
        <v/>
      </c>
      <c r="C13" s="67">
        <f>-Tracado_Perdas!S13*Tracado_Perdas!G13*Tracado_Perdas!D13</f>
        <v/>
      </c>
      <c r="D13" s="66">
        <f>C13*B13</f>
        <v/>
      </c>
      <c r="E13" s="67">
        <f>-Tracado_Perdas!AB13*Tracado_Perdas!G13*Tracado_Perdas!D13</f>
        <v/>
      </c>
      <c r="F13" s="66">
        <f>E13*B13</f>
        <v/>
      </c>
      <c r="G13" s="67">
        <f>-$H$3*B13</f>
        <v/>
      </c>
      <c r="H13" s="67">
        <f>-$H$4*B13</f>
        <v/>
      </c>
    </row>
    <row r="14" ht="15" customHeight="1" s="47">
      <c r="A14" s="63">
        <f>Tracado_Perdas!B14</f>
        <v/>
      </c>
      <c r="B14" s="66">
        <f>IF(A14&lt;=Dados!$C$5,A14/2,(2*Dados!$C$5-A14)/2)</f>
        <v/>
      </c>
      <c r="C14" s="67">
        <f>-Tracado_Perdas!S14*Tracado_Perdas!G14*Tracado_Perdas!D14</f>
        <v/>
      </c>
      <c r="D14" s="66">
        <f>C14*B14</f>
        <v/>
      </c>
      <c r="E14" s="67">
        <f>-Tracado_Perdas!AB14*Tracado_Perdas!G14*Tracado_Perdas!D14</f>
        <v/>
      </c>
      <c r="F14" s="66">
        <f>E14*B14</f>
        <v/>
      </c>
      <c r="G14" s="67">
        <f>-$H$3*B14</f>
        <v/>
      </c>
      <c r="H14" s="67">
        <f>-$H$4*B14</f>
        <v/>
      </c>
    </row>
    <row r="15" ht="15" customHeight="1" s="47">
      <c r="A15" s="63">
        <f>Tracado_Perdas!B15</f>
        <v/>
      </c>
      <c r="B15" s="66">
        <f>IF(A15&lt;=Dados!$C$5,A15/2,(2*Dados!$C$5-A15)/2)</f>
        <v/>
      </c>
      <c r="C15" s="67">
        <f>-Tracado_Perdas!S15*Tracado_Perdas!G15*Tracado_Perdas!D15</f>
        <v/>
      </c>
      <c r="D15" s="66">
        <f>C15*B15</f>
        <v/>
      </c>
      <c r="E15" s="67">
        <f>-Tracado_Perdas!AB15*Tracado_Perdas!G15*Tracado_Perdas!D15</f>
        <v/>
      </c>
      <c r="F15" s="66">
        <f>E15*B15</f>
        <v/>
      </c>
      <c r="G15" s="67">
        <f>-$H$3*B15</f>
        <v/>
      </c>
      <c r="H15" s="67">
        <f>-$H$4*B15</f>
        <v/>
      </c>
    </row>
    <row r="16" ht="15" customHeight="1" s="47">
      <c r="A16" s="63">
        <f>Tracado_Perdas!B16</f>
        <v/>
      </c>
      <c r="B16" s="66">
        <f>IF(A16&lt;=Dados!$C$5,A16/2,(2*Dados!$C$5-A16)/2)</f>
        <v/>
      </c>
      <c r="C16" s="67">
        <f>-Tracado_Perdas!S16*Tracado_Perdas!G16*Tracado_Perdas!D16</f>
        <v/>
      </c>
      <c r="D16" s="66">
        <f>C16*B16</f>
        <v/>
      </c>
      <c r="E16" s="67">
        <f>-Tracado_Perdas!AB16*Tracado_Perdas!G16*Tracado_Perdas!D16</f>
        <v/>
      </c>
      <c r="F16" s="66">
        <f>E16*B16</f>
        <v/>
      </c>
      <c r="G16" s="67">
        <f>-$H$3*B16</f>
        <v/>
      </c>
      <c r="H16" s="67">
        <f>-$H$4*B16</f>
        <v/>
      </c>
    </row>
    <row r="17" ht="15" customHeight="1" s="47">
      <c r="A17" s="63">
        <f>Tracado_Perdas!B17</f>
        <v/>
      </c>
      <c r="B17" s="66">
        <f>IF(A17&lt;=Dados!$C$5,A17/2,(2*Dados!$C$5-A17)/2)</f>
        <v/>
      </c>
      <c r="C17" s="67">
        <f>-Tracado_Perdas!S17*Tracado_Perdas!G17*Tracado_Perdas!D17</f>
        <v/>
      </c>
      <c r="D17" s="66">
        <f>C17*B17</f>
        <v/>
      </c>
      <c r="E17" s="67">
        <f>-Tracado_Perdas!AB17*Tracado_Perdas!G17*Tracado_Perdas!D17</f>
        <v/>
      </c>
      <c r="F17" s="66">
        <f>E17*B17</f>
        <v/>
      </c>
      <c r="G17" s="67">
        <f>-$H$3*B17</f>
        <v/>
      </c>
      <c r="H17" s="67">
        <f>-$H$4*B17</f>
        <v/>
      </c>
    </row>
    <row r="18" ht="15" customHeight="1" s="47">
      <c r="A18" s="63">
        <f>Tracado_Perdas!B18</f>
        <v/>
      </c>
      <c r="B18" s="66">
        <f>IF(A18&lt;=Dados!$C$5,A18/2,(2*Dados!$C$5-A18)/2)</f>
        <v/>
      </c>
      <c r="C18" s="67">
        <f>-Tracado_Perdas!S18*Tracado_Perdas!G18*Tracado_Perdas!D18</f>
        <v/>
      </c>
      <c r="D18" s="66">
        <f>C18*B18</f>
        <v/>
      </c>
      <c r="E18" s="67">
        <f>-Tracado_Perdas!AB18*Tracado_Perdas!G18*Tracado_Perdas!D18</f>
        <v/>
      </c>
      <c r="F18" s="66">
        <f>E18*B18</f>
        <v/>
      </c>
      <c r="G18" s="67">
        <f>-$H$3*B18</f>
        <v/>
      </c>
      <c r="H18" s="67">
        <f>-$H$4*B18</f>
        <v/>
      </c>
    </row>
    <row r="19" ht="15" customHeight="1" s="47">
      <c r="A19" s="63">
        <f>Tracado_Perdas!B19</f>
        <v/>
      </c>
      <c r="B19" s="66">
        <f>IF(A19&lt;=Dados!$C$5,A19/2,(2*Dados!$C$5-A19)/2)</f>
        <v/>
      </c>
      <c r="C19" s="67">
        <f>-Tracado_Perdas!S19*Tracado_Perdas!G19*Tracado_Perdas!D19</f>
        <v/>
      </c>
      <c r="D19" s="66">
        <f>C19*B19</f>
        <v/>
      </c>
      <c r="E19" s="67">
        <f>-Tracado_Perdas!AB19*Tracado_Perdas!G19*Tracado_Perdas!D19</f>
        <v/>
      </c>
      <c r="F19" s="66">
        <f>E19*B19</f>
        <v/>
      </c>
      <c r="G19" s="67">
        <f>-$H$3*B19</f>
        <v/>
      </c>
      <c r="H19" s="67">
        <f>-$H$4*B19</f>
        <v/>
      </c>
    </row>
    <row r="20" ht="15" customHeight="1" s="47">
      <c r="A20" s="63">
        <f>Tracado_Perdas!B20</f>
        <v/>
      </c>
      <c r="B20" s="66">
        <f>IF(A20&lt;=Dados!$C$5,A20/2,(2*Dados!$C$5-A20)/2)</f>
        <v/>
      </c>
      <c r="C20" s="67">
        <f>-Tracado_Perdas!S20*Tracado_Perdas!G20*Tracado_Perdas!D20</f>
        <v/>
      </c>
      <c r="D20" s="66">
        <f>C20*B20</f>
        <v/>
      </c>
      <c r="E20" s="67">
        <f>-Tracado_Perdas!AB20*Tracado_Perdas!G20*Tracado_Perdas!D20</f>
        <v/>
      </c>
      <c r="F20" s="66">
        <f>E20*B20</f>
        <v/>
      </c>
      <c r="G20" s="67">
        <f>-$H$3*B20</f>
        <v/>
      </c>
      <c r="H20" s="67">
        <f>-$H$4*B20</f>
        <v/>
      </c>
    </row>
    <row r="21" ht="15" customHeight="1" s="47">
      <c r="A21" s="63">
        <f>Tracado_Perdas!B21</f>
        <v/>
      </c>
      <c r="B21" s="66">
        <f>IF(A21&lt;=Dados!$C$5,A21/2,(2*Dados!$C$5-A21)/2)</f>
        <v/>
      </c>
      <c r="C21" s="67">
        <f>-Tracado_Perdas!S21*Tracado_Perdas!G21*Tracado_Perdas!D21</f>
        <v/>
      </c>
      <c r="D21" s="66">
        <f>C21*B21</f>
        <v/>
      </c>
      <c r="E21" s="67">
        <f>-Tracado_Perdas!AB21*Tracado_Perdas!G21*Tracado_Perdas!D21</f>
        <v/>
      </c>
      <c r="F21" s="66">
        <f>E21*B21</f>
        <v/>
      </c>
      <c r="G21" s="67">
        <f>-$H$3*B21</f>
        <v/>
      </c>
      <c r="H21" s="67">
        <f>-$H$4*B21</f>
        <v/>
      </c>
    </row>
    <row r="22" ht="15" customHeight="1" s="47">
      <c r="A22" s="63">
        <f>Tracado_Perdas!B22</f>
        <v/>
      </c>
      <c r="B22" s="66">
        <f>IF(A22&lt;=Dados!$C$5,A22/2,(2*Dados!$C$5-A22)/2)</f>
        <v/>
      </c>
      <c r="C22" s="67">
        <f>-Tracado_Perdas!S22*Tracado_Perdas!G22*Tracado_Perdas!D22</f>
        <v/>
      </c>
      <c r="D22" s="66">
        <f>C22*B22</f>
        <v/>
      </c>
      <c r="E22" s="67">
        <f>-Tracado_Perdas!AB22*Tracado_Perdas!G22*Tracado_Perdas!D22</f>
        <v/>
      </c>
      <c r="F22" s="66">
        <f>E22*B22</f>
        <v/>
      </c>
      <c r="G22" s="67">
        <f>-$H$3*B22</f>
        <v/>
      </c>
      <c r="H22" s="67">
        <f>-$H$4*B22</f>
        <v/>
      </c>
    </row>
    <row r="23" ht="15" customHeight="1" s="47">
      <c r="A23" s="63">
        <f>Tracado_Perdas!B23</f>
        <v/>
      </c>
      <c r="B23" s="66">
        <f>IF(A23&lt;=Dados!$C$5,A23/2,(2*Dados!$C$5-A23)/2)</f>
        <v/>
      </c>
      <c r="C23" s="67">
        <f>-Tracado_Perdas!S23*Tracado_Perdas!G23*Tracado_Perdas!D23</f>
        <v/>
      </c>
      <c r="D23" s="66">
        <f>C23*B23</f>
        <v/>
      </c>
      <c r="E23" s="67">
        <f>-Tracado_Perdas!AB23*Tracado_Perdas!G23*Tracado_Perdas!D23</f>
        <v/>
      </c>
      <c r="F23" s="66">
        <f>E23*B23</f>
        <v/>
      </c>
      <c r="G23" s="67">
        <f>-$H$3*B23</f>
        <v/>
      </c>
      <c r="H23" s="67">
        <f>-$H$4*B23</f>
        <v/>
      </c>
    </row>
    <row r="24" ht="15" customHeight="1" s="47">
      <c r="A24" s="63">
        <f>Tracado_Perdas!B24</f>
        <v/>
      </c>
      <c r="B24" s="66">
        <f>IF(A24&lt;=Dados!$C$5,A24/2,(2*Dados!$C$5-A24)/2)</f>
        <v/>
      </c>
      <c r="C24" s="67">
        <f>-Tracado_Perdas!S24*Tracado_Perdas!G24*Tracado_Perdas!D24</f>
        <v/>
      </c>
      <c r="D24" s="66">
        <f>C24*B24</f>
        <v/>
      </c>
      <c r="E24" s="67">
        <f>-Tracado_Perdas!AB24*Tracado_Perdas!G24*Tracado_Perdas!D24</f>
        <v/>
      </c>
      <c r="F24" s="66">
        <f>E24*B24</f>
        <v/>
      </c>
      <c r="G24" s="67">
        <f>-$H$3*B24</f>
        <v/>
      </c>
      <c r="H24" s="67">
        <f>-$H$4*B24</f>
        <v/>
      </c>
    </row>
    <row r="25" ht="15" customHeight="1" s="47">
      <c r="A25" s="63">
        <f>Tracado_Perdas!B25</f>
        <v/>
      </c>
      <c r="B25" s="66">
        <f>IF(A25&lt;=Dados!$C$5,A25/2,(2*Dados!$C$5-A25)/2)</f>
        <v/>
      </c>
      <c r="C25" s="67">
        <f>-Tracado_Perdas!S25*Tracado_Perdas!G25*Tracado_Perdas!D25</f>
        <v/>
      </c>
      <c r="D25" s="66">
        <f>C25*B25</f>
        <v/>
      </c>
      <c r="E25" s="67">
        <f>-Tracado_Perdas!AB25*Tracado_Perdas!G25*Tracado_Perdas!D25</f>
        <v/>
      </c>
      <c r="F25" s="66">
        <f>E25*B25</f>
        <v/>
      </c>
      <c r="G25" s="67">
        <f>-$H$3*B25</f>
        <v/>
      </c>
      <c r="H25" s="67">
        <f>-$H$4*B25</f>
        <v/>
      </c>
    </row>
    <row r="26" ht="15" customHeight="1" s="47">
      <c r="A26" s="63">
        <f>Tracado_Perdas!B26</f>
        <v/>
      </c>
      <c r="B26" s="66">
        <f>IF(A26&lt;=Dados!$C$5,A26/2,(2*Dados!$C$5-A26)/2)</f>
        <v/>
      </c>
      <c r="C26" s="67">
        <f>-Tracado_Perdas!S26*Tracado_Perdas!G26*Tracado_Perdas!D26</f>
        <v/>
      </c>
      <c r="D26" s="66">
        <f>C26*B26</f>
        <v/>
      </c>
      <c r="E26" s="67">
        <f>-Tracado_Perdas!AB26*Tracado_Perdas!G26*Tracado_Perdas!D26</f>
        <v/>
      </c>
      <c r="F26" s="66">
        <f>E26*B26</f>
        <v/>
      </c>
      <c r="G26" s="67">
        <f>-$H$3*B26</f>
        <v/>
      </c>
      <c r="H26" s="67">
        <f>-$H$4*B26</f>
        <v/>
      </c>
    </row>
    <row r="27" ht="15" customHeight="1" s="47">
      <c r="A27" s="63">
        <f>Tracado_Perdas!B27</f>
        <v/>
      </c>
      <c r="B27" s="66">
        <f>IF(A27&lt;=Dados!$C$5,A27/2,(2*Dados!$C$5-A27)/2)</f>
        <v/>
      </c>
      <c r="C27" s="67">
        <f>-Tracado_Perdas!S27*Tracado_Perdas!G27*Tracado_Perdas!D27</f>
        <v/>
      </c>
      <c r="D27" s="66">
        <f>C27*B27</f>
        <v/>
      </c>
      <c r="E27" s="67">
        <f>-Tracado_Perdas!AB27*Tracado_Perdas!G27*Tracado_Perdas!D27</f>
        <v/>
      </c>
      <c r="F27" s="66">
        <f>E27*B27</f>
        <v/>
      </c>
      <c r="G27" s="67">
        <f>-$H$3*B27</f>
        <v/>
      </c>
      <c r="H27" s="67">
        <f>-$H$4*B27</f>
        <v/>
      </c>
    </row>
    <row r="28" ht="15" customHeight="1" s="47">
      <c r="A28" s="63">
        <f>Tracado_Perdas!B28</f>
        <v/>
      </c>
      <c r="B28" s="66">
        <f>IF(A28&lt;=Dados!$C$5,A28/2,(2*Dados!$C$5-A28)/2)</f>
        <v/>
      </c>
      <c r="C28" s="67">
        <f>-Tracado_Perdas!S28*Tracado_Perdas!G28*Tracado_Perdas!D28</f>
        <v/>
      </c>
      <c r="D28" s="66">
        <f>C28*B28</f>
        <v/>
      </c>
      <c r="E28" s="67">
        <f>-Tracado_Perdas!AB28*Tracado_Perdas!G28*Tracado_Perdas!D28</f>
        <v/>
      </c>
      <c r="F28" s="66">
        <f>E28*B28</f>
        <v/>
      </c>
      <c r="G28" s="67">
        <f>-$H$3*B28</f>
        <v/>
      </c>
      <c r="H28" s="67">
        <f>-$H$4*B28</f>
        <v/>
      </c>
    </row>
    <row r="29" ht="15" customHeight="1" s="47">
      <c r="A29" s="63">
        <f>Tracado_Perdas!B29</f>
        <v/>
      </c>
      <c r="B29" s="66">
        <f>IF(A29&lt;=Dados!$C$5,A29/2,(2*Dados!$C$5-A29)/2)</f>
        <v/>
      </c>
      <c r="C29" s="67">
        <f>-Tracado_Perdas!S29*Tracado_Perdas!G29*Tracado_Perdas!D29</f>
        <v/>
      </c>
      <c r="D29" s="66">
        <f>C29*B29</f>
        <v/>
      </c>
      <c r="E29" s="67">
        <f>-Tracado_Perdas!AB29*Tracado_Perdas!G29*Tracado_Perdas!D29</f>
        <v/>
      </c>
      <c r="F29" s="66">
        <f>E29*B29</f>
        <v/>
      </c>
      <c r="G29" s="67">
        <f>-$H$3*B29</f>
        <v/>
      </c>
      <c r="H29" s="67">
        <f>-$H$4*B29</f>
        <v/>
      </c>
    </row>
    <row r="30" ht="15" customHeight="1" s="47">
      <c r="A30" s="63">
        <f>Tracado_Perdas!B30</f>
        <v/>
      </c>
      <c r="B30" s="66">
        <f>IF(A30&lt;=Dados!$C$5,A30/2,(2*Dados!$C$5-A30)/2)</f>
        <v/>
      </c>
      <c r="C30" s="67">
        <f>-Tracado_Perdas!S30*Tracado_Perdas!G30*Tracado_Perdas!D30</f>
        <v/>
      </c>
      <c r="D30" s="66">
        <f>C30*B30</f>
        <v/>
      </c>
      <c r="E30" s="67">
        <f>-Tracado_Perdas!AB30*Tracado_Perdas!G30*Tracado_Perdas!D30</f>
        <v/>
      </c>
      <c r="F30" s="66">
        <f>E30*B30</f>
        <v/>
      </c>
      <c r="G30" s="67">
        <f>-$H$3*B30</f>
        <v/>
      </c>
      <c r="H30" s="67">
        <f>-$H$4*B30</f>
        <v/>
      </c>
    </row>
    <row r="31" ht="15" customHeight="1" s="47">
      <c r="A31" s="63">
        <f>Tracado_Perdas!B31</f>
        <v/>
      </c>
      <c r="B31" s="66">
        <f>IF(A31&lt;=Dados!$C$5,A31/2,(2*Dados!$C$5-A31)/2)</f>
        <v/>
      </c>
      <c r="C31" s="67">
        <f>-Tracado_Perdas!S31*Tracado_Perdas!G31*Tracado_Perdas!D31</f>
        <v/>
      </c>
      <c r="D31" s="66">
        <f>C31*B31</f>
        <v/>
      </c>
      <c r="E31" s="67">
        <f>-Tracado_Perdas!AB31*Tracado_Perdas!G31*Tracado_Perdas!D31</f>
        <v/>
      </c>
      <c r="F31" s="66">
        <f>E31*B31</f>
        <v/>
      </c>
      <c r="G31" s="67">
        <f>-$H$3*B31</f>
        <v/>
      </c>
      <c r="H31" s="67">
        <f>-$H$4*B31</f>
        <v/>
      </c>
    </row>
    <row r="32" ht="15" customHeight="1" s="47">
      <c r="A32" s="63">
        <f>Tracado_Perdas!B32</f>
        <v/>
      </c>
      <c r="B32" s="66">
        <f>IF(A32&lt;=Dados!$C$5,A32/2,(2*Dados!$C$5-A32)/2)</f>
        <v/>
      </c>
      <c r="C32" s="67">
        <f>-Tracado_Perdas!S32*Tracado_Perdas!G32*Tracado_Perdas!D32</f>
        <v/>
      </c>
      <c r="D32" s="66">
        <f>C32*B32</f>
        <v/>
      </c>
      <c r="E32" s="67">
        <f>-Tracado_Perdas!AB32*Tracado_Perdas!G32*Tracado_Perdas!D32</f>
        <v/>
      </c>
      <c r="F32" s="66">
        <f>E32*B32</f>
        <v/>
      </c>
      <c r="G32" s="67">
        <f>-$H$3*B32</f>
        <v/>
      </c>
      <c r="H32" s="67">
        <f>-$H$4*B32</f>
        <v/>
      </c>
    </row>
    <row r="33" ht="15" customHeight="1" s="47">
      <c r="A33" s="63">
        <f>Tracado_Perdas!B33</f>
        <v/>
      </c>
      <c r="B33" s="66">
        <f>IF(A33&lt;=Dados!$C$5,A33/2,(2*Dados!$C$5-A33)/2)</f>
        <v/>
      </c>
      <c r="C33" s="67">
        <f>-Tracado_Perdas!S33*Tracado_Perdas!G33*Tracado_Perdas!D33</f>
        <v/>
      </c>
      <c r="D33" s="66">
        <f>C33*B33</f>
        <v/>
      </c>
      <c r="E33" s="67">
        <f>-Tracado_Perdas!AB33*Tracado_Perdas!G33*Tracado_Perdas!D33</f>
        <v/>
      </c>
      <c r="F33" s="66">
        <f>E33*B33</f>
        <v/>
      </c>
      <c r="G33" s="67">
        <f>-$H$3*B33</f>
        <v/>
      </c>
      <c r="H33" s="67">
        <f>-$H$4*B33</f>
        <v/>
      </c>
    </row>
    <row r="34" ht="15" customHeight="1" s="47">
      <c r="A34" s="63">
        <f>Tracado_Perdas!B34</f>
        <v/>
      </c>
      <c r="B34" s="66">
        <f>IF(A34&lt;=Dados!$C$5,A34/2,(2*Dados!$C$5-A34)/2)</f>
        <v/>
      </c>
      <c r="C34" s="67">
        <f>-Tracado_Perdas!S34*Tracado_Perdas!G34*Tracado_Perdas!D34</f>
        <v/>
      </c>
      <c r="D34" s="66">
        <f>C34*B34</f>
        <v/>
      </c>
      <c r="E34" s="67">
        <f>-Tracado_Perdas!AB34*Tracado_Perdas!G34*Tracado_Perdas!D34</f>
        <v/>
      </c>
      <c r="F34" s="66">
        <f>E34*B34</f>
        <v/>
      </c>
      <c r="G34" s="67">
        <f>-$H$3*B34</f>
        <v/>
      </c>
      <c r="H34" s="67">
        <f>-$H$4*B34</f>
        <v/>
      </c>
    </row>
    <row r="35" ht="15" customHeight="1" s="47">
      <c r="A35" s="63">
        <f>Tracado_Perdas!B35</f>
        <v/>
      </c>
      <c r="B35" s="66">
        <f>IF(A35&lt;=Dados!$C$5,A35/2,(2*Dados!$C$5-A35)/2)</f>
        <v/>
      </c>
      <c r="C35" s="67">
        <f>-Tracado_Perdas!S35*Tracado_Perdas!G35*Tracado_Perdas!D35</f>
        <v/>
      </c>
      <c r="D35" s="66">
        <f>C35*B35</f>
        <v/>
      </c>
      <c r="E35" s="67">
        <f>-Tracado_Perdas!AB35*Tracado_Perdas!G35*Tracado_Perdas!D35</f>
        <v/>
      </c>
      <c r="F35" s="66">
        <f>E35*B35</f>
        <v/>
      </c>
      <c r="G35" s="67">
        <f>-$H$3*B35</f>
        <v/>
      </c>
      <c r="H35" s="67">
        <f>-$H$4*B35</f>
        <v/>
      </c>
    </row>
    <row r="36" ht="15" customHeight="1" s="47">
      <c r="A36" s="63">
        <f>Tracado_Perdas!B36</f>
        <v/>
      </c>
      <c r="B36" s="66">
        <f>IF(A36&lt;=Dados!$C$5,A36/2,(2*Dados!$C$5-A36)/2)</f>
        <v/>
      </c>
      <c r="C36" s="67">
        <f>-Tracado_Perdas!S36*Tracado_Perdas!G36*Tracado_Perdas!D36</f>
        <v/>
      </c>
      <c r="D36" s="66">
        <f>C36*B36</f>
        <v/>
      </c>
      <c r="E36" s="67">
        <f>-Tracado_Perdas!AB36*Tracado_Perdas!G36*Tracado_Perdas!D36</f>
        <v/>
      </c>
      <c r="F36" s="66">
        <f>E36*B36</f>
        <v/>
      </c>
      <c r="G36" s="67">
        <f>-$H$3*B36</f>
        <v/>
      </c>
      <c r="H36" s="67">
        <f>-$H$4*B36</f>
        <v/>
      </c>
    </row>
    <row r="37" ht="15" customHeight="1" s="47">
      <c r="A37" s="63">
        <f>Tracado_Perdas!B37</f>
        <v/>
      </c>
      <c r="B37" s="66">
        <f>IF(A37&lt;=Dados!$C$5,A37/2,(2*Dados!$C$5-A37)/2)</f>
        <v/>
      </c>
      <c r="C37" s="67">
        <f>-Tracado_Perdas!S37*Tracado_Perdas!G37*Tracado_Perdas!D37</f>
        <v/>
      </c>
      <c r="D37" s="66">
        <f>C37*B37</f>
        <v/>
      </c>
      <c r="E37" s="67">
        <f>-Tracado_Perdas!AB37*Tracado_Perdas!G37*Tracado_Perdas!D37</f>
        <v/>
      </c>
      <c r="F37" s="66">
        <f>E37*B37</f>
        <v/>
      </c>
      <c r="G37" s="67">
        <f>-$H$3*B37</f>
        <v/>
      </c>
      <c r="H37" s="67">
        <f>-$H$4*B37</f>
        <v/>
      </c>
    </row>
    <row r="38" ht="15" customHeight="1" s="47">
      <c r="A38" s="63">
        <f>Tracado_Perdas!B38</f>
        <v/>
      </c>
      <c r="B38" s="66">
        <f>IF(A38&lt;=Dados!$C$5,A38/2,(2*Dados!$C$5-A38)/2)</f>
        <v/>
      </c>
      <c r="C38" s="67">
        <f>-Tracado_Perdas!S38*Tracado_Perdas!G38*Tracado_Perdas!D38</f>
        <v/>
      </c>
      <c r="D38" s="66">
        <f>C38*B38</f>
        <v/>
      </c>
      <c r="E38" s="67">
        <f>-Tracado_Perdas!AB38*Tracado_Perdas!G38*Tracado_Perdas!D38</f>
        <v/>
      </c>
      <c r="F38" s="66">
        <f>E38*B38</f>
        <v/>
      </c>
      <c r="G38" s="67">
        <f>-$H$3*B38</f>
        <v/>
      </c>
      <c r="H38" s="67">
        <f>-$H$4*B38</f>
        <v/>
      </c>
    </row>
    <row r="39" ht="15" customHeight="1" s="47">
      <c r="A39" s="63">
        <f>Tracado_Perdas!B39</f>
        <v/>
      </c>
      <c r="B39" s="66">
        <f>IF(A39&lt;=Dados!$C$5,A39/2,(2*Dados!$C$5-A39)/2)</f>
        <v/>
      </c>
      <c r="C39" s="67">
        <f>-Tracado_Perdas!S39*Tracado_Perdas!G39*Tracado_Perdas!D39</f>
        <v/>
      </c>
      <c r="D39" s="66">
        <f>C39*B39</f>
        <v/>
      </c>
      <c r="E39" s="67">
        <f>-Tracado_Perdas!AB39*Tracado_Perdas!G39*Tracado_Perdas!D39</f>
        <v/>
      </c>
      <c r="F39" s="66">
        <f>E39*B39</f>
        <v/>
      </c>
      <c r="G39" s="67">
        <f>-$H$3*B39</f>
        <v/>
      </c>
      <c r="H39" s="67">
        <f>-$H$4*B39</f>
        <v/>
      </c>
    </row>
    <row r="40" ht="15" customHeight="1" s="47">
      <c r="A40" s="63">
        <f>Tracado_Perdas!B40</f>
        <v/>
      </c>
      <c r="B40" s="66">
        <f>IF(A40&lt;=Dados!$C$5,A40/2,(2*Dados!$C$5-A40)/2)</f>
        <v/>
      </c>
      <c r="C40" s="67">
        <f>-Tracado_Perdas!S40*Tracado_Perdas!G40*Tracado_Perdas!D40</f>
        <v/>
      </c>
      <c r="D40" s="66">
        <f>C40*B40</f>
        <v/>
      </c>
      <c r="E40" s="67">
        <f>-Tracado_Perdas!AB40*Tracado_Perdas!G40*Tracado_Perdas!D40</f>
        <v/>
      </c>
      <c r="F40" s="66">
        <f>E40*B40</f>
        <v/>
      </c>
      <c r="G40" s="67">
        <f>-$H$3*B40</f>
        <v/>
      </c>
      <c r="H40" s="67">
        <f>-$H$4*B40</f>
        <v/>
      </c>
    </row>
    <row r="41" ht="15" customHeight="1" s="47">
      <c r="A41" s="63">
        <f>Tracado_Perdas!B41</f>
        <v/>
      </c>
      <c r="B41" s="66">
        <f>IF(A41&lt;=Dados!$C$5,A41/2,(2*Dados!$C$5-A41)/2)</f>
        <v/>
      </c>
      <c r="C41" s="67">
        <f>-Tracado_Perdas!S41*Tracado_Perdas!G41*Tracado_Perdas!D41</f>
        <v/>
      </c>
      <c r="D41" s="66">
        <f>C41*B41</f>
        <v/>
      </c>
      <c r="E41" s="67">
        <f>-Tracado_Perdas!AB41*Tracado_Perdas!G41*Tracado_Perdas!D41</f>
        <v/>
      </c>
      <c r="F41" s="66">
        <f>E41*B41</f>
        <v/>
      </c>
      <c r="G41" s="67">
        <f>-$H$3*B41</f>
        <v/>
      </c>
      <c r="H41" s="67">
        <f>-$H$4*B41</f>
        <v/>
      </c>
    </row>
    <row r="42" ht="15" customHeight="1" s="47">
      <c r="A42" s="63">
        <f>Tracado_Perdas!B42</f>
        <v/>
      </c>
      <c r="B42" s="66">
        <f>IF(A42&lt;=Dados!$C$5,A42/2,(2*Dados!$C$5-A42)/2)</f>
        <v/>
      </c>
      <c r="C42" s="67">
        <f>-Tracado_Perdas!S42*Tracado_Perdas!G42*Tracado_Perdas!D42</f>
        <v/>
      </c>
      <c r="D42" s="66">
        <f>C42*B42</f>
        <v/>
      </c>
      <c r="E42" s="67">
        <f>-Tracado_Perdas!AB42*Tracado_Perdas!G42*Tracado_Perdas!D42</f>
        <v/>
      </c>
      <c r="F42" s="66">
        <f>E42*B42</f>
        <v/>
      </c>
      <c r="G42" s="67">
        <f>-$H$3*B42</f>
        <v/>
      </c>
      <c r="H42" s="67">
        <f>-$H$4*B42</f>
        <v/>
      </c>
    </row>
    <row r="43" ht="15" customHeight="1" s="47">
      <c r="A43" s="63">
        <f>Tracado_Perdas!B43</f>
        <v/>
      </c>
      <c r="B43" s="66">
        <f>IF(A43&lt;=Dados!$C$5,A43/2,(2*Dados!$C$5-A43)/2)</f>
        <v/>
      </c>
      <c r="C43" s="67">
        <f>-Tracado_Perdas!S43*Tracado_Perdas!G43*Tracado_Perdas!D43</f>
        <v/>
      </c>
      <c r="D43" s="66">
        <f>C43*B43</f>
        <v/>
      </c>
      <c r="E43" s="67">
        <f>-Tracado_Perdas!AB43*Tracado_Perdas!G43*Tracado_Perdas!D43</f>
        <v/>
      </c>
      <c r="F43" s="66">
        <f>E43*B43</f>
        <v/>
      </c>
      <c r="G43" s="67">
        <f>-$H$3*B43</f>
        <v/>
      </c>
      <c r="H43" s="67">
        <f>-$H$4*B43</f>
        <v/>
      </c>
    </row>
    <row r="44" ht="15" customHeight="1" s="47">
      <c r="A44" s="63">
        <f>Tracado_Perdas!B44</f>
        <v/>
      </c>
      <c r="B44" s="66">
        <f>IF(A44&lt;=Dados!$C$5,A44/2,(2*Dados!$C$5-A44)/2)</f>
        <v/>
      </c>
      <c r="C44" s="67">
        <f>-Tracado_Perdas!S44*Tracado_Perdas!G44*Tracado_Perdas!D44</f>
        <v/>
      </c>
      <c r="D44" s="66">
        <f>C44*B44</f>
        <v/>
      </c>
      <c r="E44" s="67">
        <f>-Tracado_Perdas!AB44*Tracado_Perdas!G44*Tracado_Perdas!D44</f>
        <v/>
      </c>
      <c r="F44" s="66">
        <f>E44*B44</f>
        <v/>
      </c>
      <c r="G44" s="67">
        <f>-$H$3*B44</f>
        <v/>
      </c>
      <c r="H44" s="67">
        <f>-$H$4*B44</f>
        <v/>
      </c>
    </row>
    <row r="45" ht="15" customHeight="1" s="47">
      <c r="A45" s="63">
        <f>Tracado_Perdas!B45</f>
        <v/>
      </c>
      <c r="B45" s="66">
        <f>IF(A45&lt;=Dados!$C$5,A45/2,(2*Dados!$C$5-A45)/2)</f>
        <v/>
      </c>
      <c r="C45" s="67">
        <f>-Tracado_Perdas!S45*Tracado_Perdas!G45*Tracado_Perdas!D45</f>
        <v/>
      </c>
      <c r="D45" s="66">
        <f>C45*B45</f>
        <v/>
      </c>
      <c r="E45" s="67">
        <f>-Tracado_Perdas!AB45*Tracado_Perdas!G45*Tracado_Perdas!D45</f>
        <v/>
      </c>
      <c r="F45" s="66">
        <f>E45*B45</f>
        <v/>
      </c>
      <c r="G45" s="67">
        <f>-$H$3*B45</f>
        <v/>
      </c>
      <c r="H45" s="67">
        <f>-$H$4*B45</f>
        <v/>
      </c>
    </row>
    <row r="46" ht="15" customHeight="1" s="47">
      <c r="A46" s="63">
        <f>Tracado_Perdas!B46</f>
        <v/>
      </c>
      <c r="B46" s="66">
        <f>IF(A46&lt;=Dados!$C$5,A46/2,(2*Dados!$C$5-A46)/2)</f>
        <v/>
      </c>
      <c r="C46" s="67">
        <f>-Tracado_Perdas!S46*Tracado_Perdas!G46*Tracado_Perdas!D46</f>
        <v/>
      </c>
      <c r="D46" s="66">
        <f>C46*B46</f>
        <v/>
      </c>
      <c r="E46" s="67">
        <f>-Tracado_Perdas!AB46*Tracado_Perdas!G46*Tracado_Perdas!D46</f>
        <v/>
      </c>
      <c r="F46" s="66">
        <f>E46*B46</f>
        <v/>
      </c>
      <c r="G46" s="67">
        <f>-$H$3*B46</f>
        <v/>
      </c>
      <c r="H46" s="67">
        <f>-$H$4*B46</f>
        <v/>
      </c>
    </row>
    <row r="47" ht="15" customHeight="1" s="47">
      <c r="A47" s="63">
        <f>Tracado_Perdas!B47</f>
        <v/>
      </c>
      <c r="B47" s="66">
        <f>IF(A47&lt;=Dados!$C$5,A47/2,(2*Dados!$C$5-A47)/2)</f>
        <v/>
      </c>
      <c r="C47" s="67">
        <f>-Tracado_Perdas!S47*Tracado_Perdas!G47*Tracado_Perdas!D47</f>
        <v/>
      </c>
      <c r="D47" s="66">
        <f>C47*B47</f>
        <v/>
      </c>
      <c r="E47" s="67">
        <f>-Tracado_Perdas!AB47*Tracado_Perdas!G47*Tracado_Perdas!D47</f>
        <v/>
      </c>
      <c r="F47" s="66">
        <f>E47*B47</f>
        <v/>
      </c>
      <c r="G47" s="67">
        <f>-$H$3*B47</f>
        <v/>
      </c>
      <c r="H47" s="67">
        <f>-$H$4*B47</f>
        <v/>
      </c>
    </row>
    <row r="48" ht="15" customHeight="1" s="47">
      <c r="A48" s="63">
        <f>Tracado_Perdas!B48</f>
        <v/>
      </c>
      <c r="B48" s="66">
        <f>IF(A48&lt;=Dados!$C$5,A48/2,(2*Dados!$C$5-A48)/2)</f>
        <v/>
      </c>
      <c r="C48" s="67">
        <f>-Tracado_Perdas!S48*Tracado_Perdas!G48*Tracado_Perdas!D48</f>
        <v/>
      </c>
      <c r="D48" s="66">
        <f>C48*B48</f>
        <v/>
      </c>
      <c r="E48" s="67">
        <f>-Tracado_Perdas!AB48*Tracado_Perdas!G48*Tracado_Perdas!D48</f>
        <v/>
      </c>
      <c r="F48" s="66">
        <f>E48*B48</f>
        <v/>
      </c>
      <c r="G48" s="67">
        <f>-$H$3*B48</f>
        <v/>
      </c>
      <c r="H48" s="67">
        <f>-$H$4*B48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W4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46" min="1" max="18"/>
    <col width="8" customWidth="1" style="46" min="19" max="22"/>
    <col width="11" customWidth="1" style="46" min="23" max="23"/>
  </cols>
  <sheetData>
    <row r="1" ht="16.15" customHeight="1" s="47">
      <c r="A1" s="59" t="inlineStr">
        <is>
          <t>Verificação de tensões normais - ato, ELS-D (CFQ), ELS-F e ELS-CE (CR)</t>
        </is>
      </c>
    </row>
    <row r="2" ht="15" customHeight="1" s="47">
      <c r="A2" s="49" t="inlineStr">
        <is>
          <t>σ1 = fibra inferior; σ2 = fibra superior. Tração positiva (+), compressão negativa (-). Hiperestático incluído nas forças de protensão.</t>
        </is>
      </c>
    </row>
    <row r="3" ht="15" customHeight="1" s="47">
      <c r="A3" s="68" t="inlineStr">
        <is>
          <t>Extremos</t>
        </is>
      </c>
      <c r="K3" s="70" t="inlineStr">
        <is>
          <t>MAX</t>
        </is>
      </c>
      <c r="L3" s="70" t="inlineStr">
        <is>
          <t>MAX</t>
        </is>
      </c>
      <c r="M3" s="70" t="inlineStr">
        <is>
          <t>MAX</t>
        </is>
      </c>
      <c r="N3" s="70" t="inlineStr">
        <is>
          <t>MAX</t>
        </is>
      </c>
      <c r="O3" s="70" t="inlineStr">
        <is>
          <t>MAX</t>
        </is>
      </c>
      <c r="P3" s="70" t="inlineStr">
        <is>
          <t>MAX</t>
        </is>
      </c>
      <c r="Q3" s="70" t="inlineStr">
        <is>
          <t>MIN</t>
        </is>
      </c>
      <c r="R3" s="70" t="inlineStr">
        <is>
          <t>MIN</t>
        </is>
      </c>
    </row>
    <row r="4" ht="15" customHeight="1" s="47">
      <c r="K4" s="69">
        <f>MAX(K8:K48)</f>
        <v/>
      </c>
      <c r="L4" s="69">
        <f>MAX(L8:L48)</f>
        <v/>
      </c>
      <c r="M4" s="69">
        <f>MAX(M8:M48)</f>
        <v/>
      </c>
      <c r="N4" s="69">
        <f>MAX(N8:N48)</f>
        <v/>
      </c>
      <c r="O4" s="69">
        <f>MAX(O8:O48)</f>
        <v/>
      </c>
      <c r="P4" s="69">
        <f>MAX(P8:P48)</f>
        <v/>
      </c>
      <c r="Q4" s="69">
        <f>MIN(Q8:Q48)</f>
        <v/>
      </c>
      <c r="R4" s="69">
        <f>MIN(R8:R48)</f>
        <v/>
      </c>
    </row>
    <row r="5" ht="15" customHeight="1" s="47">
      <c r="J5" s="70" t="inlineStr">
        <is>
          <t>ATO compr. mín</t>
        </is>
      </c>
      <c r="K5" s="69">
        <f>MIN(K8:K48,L8:L48)</f>
        <v/>
      </c>
    </row>
    <row r="6" ht="31.5" customHeight="1" s="47">
      <c r="A6" s="60" t="inlineStr">
        <is>
          <t>x</t>
        </is>
      </c>
      <c r="B6" s="60" t="inlineStr">
        <is>
          <t>e</t>
        </is>
      </c>
      <c r="C6" s="60" t="inlineStr">
        <is>
          <t>N_i = Pi·cosα</t>
        </is>
      </c>
      <c r="D6" s="60" t="inlineStr">
        <is>
          <t>N_∞ = P∞·cosα</t>
        </is>
      </c>
      <c r="E6" s="60" t="inlineStr">
        <is>
          <t>M_P,i = M_iso+M_hip</t>
        </is>
      </c>
      <c r="F6" s="60" t="inlineStr">
        <is>
          <t>M_P,∞</t>
        </is>
      </c>
      <c r="G6" s="60" t="inlineStr">
        <is>
          <t>σ1p (ato)</t>
        </is>
      </c>
      <c r="H6" s="60" t="inlineStr">
        <is>
          <t>σ2p (ato)</t>
        </is>
      </c>
      <c r="I6" s="60" t="inlineStr">
        <is>
          <t>σ1p (∞)</t>
        </is>
      </c>
      <c r="J6" s="60" t="inlineStr">
        <is>
          <t>σ2p (∞)</t>
        </is>
      </c>
      <c r="K6" s="60" t="inlineStr">
        <is>
          <t>σ1 ATO</t>
        </is>
      </c>
      <c r="L6" s="60" t="inlineStr">
        <is>
          <t>σ2 ATO</t>
        </is>
      </c>
      <c r="M6" s="60" t="inlineStr">
        <is>
          <t>σ1 CFQ (ELS-D)</t>
        </is>
      </c>
      <c r="N6" s="60" t="inlineStr">
        <is>
          <t>σ2 CFQ (ELS-D)</t>
        </is>
      </c>
      <c r="O6" s="60" t="inlineStr">
        <is>
          <t>σ1 CR (ELS-F)</t>
        </is>
      </c>
      <c r="P6" s="60" t="inlineStr">
        <is>
          <t>σ2 CR (ELS-F)</t>
        </is>
      </c>
      <c r="Q6" s="60" t="inlineStr">
        <is>
          <t>σ2 CR (ELS-CE, M+)</t>
        </is>
      </c>
      <c r="R6" s="60" t="inlineStr">
        <is>
          <t>σ1 CR (ELS-CE, M-)</t>
        </is>
      </c>
      <c r="S6" s="60" t="inlineStr">
        <is>
          <t>Ato</t>
        </is>
      </c>
      <c r="T6" s="60" t="inlineStr">
        <is>
          <t>ELS-D</t>
        </is>
      </c>
      <c r="U6" s="60" t="inlineStr">
        <is>
          <t>ELS-F</t>
        </is>
      </c>
      <c r="V6" s="60" t="inlineStr">
        <is>
          <t>ELS-CE</t>
        </is>
      </c>
      <c r="W6" s="60" t="inlineStr">
        <is>
          <t>As,ato (σs=250 MPa)</t>
        </is>
      </c>
    </row>
    <row r="7" ht="15" customHeight="1" s="47">
      <c r="A7" s="61" t="inlineStr">
        <is>
          <t>m</t>
        </is>
      </c>
      <c r="B7" s="61" t="inlineStr">
        <is>
          <t>m</t>
        </is>
      </c>
      <c r="C7" s="61" t="inlineStr">
        <is>
          <t>kN</t>
        </is>
      </c>
      <c r="D7" s="61" t="inlineStr">
        <is>
          <t>kN</t>
        </is>
      </c>
      <c r="E7" s="61" t="inlineStr">
        <is>
          <t>kN·m</t>
        </is>
      </c>
      <c r="F7" s="61" t="inlineStr">
        <is>
          <t>kN·m</t>
        </is>
      </c>
      <c r="G7" s="61" t="inlineStr">
        <is>
          <t>MPa</t>
        </is>
      </c>
      <c r="H7" s="61" t="inlineStr">
        <is>
          <t>MPa</t>
        </is>
      </c>
      <c r="I7" s="61" t="inlineStr">
        <is>
          <t>MPa</t>
        </is>
      </c>
      <c r="J7" s="61" t="inlineStr">
        <is>
          <t>MPa</t>
        </is>
      </c>
      <c r="K7" s="61" t="inlineStr">
        <is>
          <t>MPa</t>
        </is>
      </c>
      <c r="L7" s="61" t="inlineStr">
        <is>
          <t>MPa</t>
        </is>
      </c>
      <c r="M7" s="61" t="inlineStr">
        <is>
          <t>MPa</t>
        </is>
      </c>
      <c r="N7" s="61" t="inlineStr">
        <is>
          <t>MPa</t>
        </is>
      </c>
      <c r="O7" s="61" t="inlineStr">
        <is>
          <t>MPa</t>
        </is>
      </c>
      <c r="P7" s="61" t="inlineStr">
        <is>
          <t>MPa</t>
        </is>
      </c>
      <c r="Q7" s="61" t="inlineStr">
        <is>
          <t>MPa</t>
        </is>
      </c>
      <c r="R7" s="61" t="inlineStr">
        <is>
          <t>MPa</t>
        </is>
      </c>
      <c r="S7" s="61" t="n"/>
      <c r="T7" s="61" t="n"/>
      <c r="U7" s="61" t="n"/>
      <c r="V7" s="61" t="n"/>
      <c r="W7" s="61" t="inlineStr">
        <is>
          <t>cm²</t>
        </is>
      </c>
    </row>
    <row r="8" ht="15" customHeight="1" s="47">
      <c r="A8" s="63">
        <f>Tracado_Perdas!B8</f>
        <v/>
      </c>
      <c r="B8" s="66">
        <f>Tracado_Perdas!D8</f>
        <v/>
      </c>
      <c r="C8" s="63">
        <f>Tracado_Perdas!S8*Tracado_Perdas!G8</f>
        <v/>
      </c>
      <c r="D8" s="63">
        <f>Tracado_Perdas!AB8*Tracado_Perdas!G8</f>
        <v/>
      </c>
      <c r="E8" s="63">
        <f>Hiperestatico!C8+Hiperestatico!G8</f>
        <v/>
      </c>
      <c r="F8" s="63">
        <f>Hiperestatico!E8+Hiperestatico!H8</f>
        <v/>
      </c>
      <c r="G8" s="67">
        <f>-C8/Dados!$C$8/1000+E8/Dados!$C$10/1000</f>
        <v/>
      </c>
      <c r="H8" s="67">
        <f>-C8/Dados!$C$8/1000-E8/Dados!$C$10/1000</f>
        <v/>
      </c>
      <c r="I8" s="67">
        <f>-D8/Dados!$C$8/1000+F8/Dados!$C$10/1000</f>
        <v/>
      </c>
      <c r="J8" s="67">
        <f>-D8/Dados!$C$8/1000-F8/Dados!$C$10/1000</f>
        <v/>
      </c>
      <c r="K8" s="67">
        <f>G8+Esforcos!D8/Dados!$C$10/1000</f>
        <v/>
      </c>
      <c r="L8" s="67">
        <f>H8-Esforcos!D8/Dados!$C$10/1000</f>
        <v/>
      </c>
      <c r="M8" s="67">
        <f>I8+Esforcos!H8/Dados!$C$10/1000</f>
        <v/>
      </c>
      <c r="N8" s="67">
        <f>J8-Esforcos!I8/Dados!$C$10/1000</f>
        <v/>
      </c>
      <c r="O8" s="67">
        <f>I8+Esforcos!J8/Dados!$C$10/1000</f>
        <v/>
      </c>
      <c r="P8" s="67">
        <f>J8-Esforcos!K8/Dados!$C$10/1000</f>
        <v/>
      </c>
      <c r="Q8" s="67">
        <f>J8-Esforcos!J8/Dados!$C$10/1000</f>
        <v/>
      </c>
      <c r="R8" s="67">
        <f>I8+Esforcos!K8/Dados!$C$10/1000</f>
        <v/>
      </c>
      <c r="S8" s="71">
        <f>IF(AND(K8&lt;=Dados!$C$26,L8&lt;=Dados!$C$26,K8&gt;=-Dados!$C$27,L8&gt;=-Dados!$C$27),"OK","ARMAR")</f>
        <v/>
      </c>
      <c r="T8" s="71">
        <f>IF(AND(M8&lt;=0,N8&lt;=0),"OK","NÃO")</f>
        <v/>
      </c>
      <c r="U8" s="71">
        <f>IF(AND(O8&lt;=Dados!$C$25,P8&lt;=Dados!$C$25),"OK","NÃO")</f>
        <v/>
      </c>
      <c r="V8" s="71">
        <f>IF(AND(Q8&gt;=-Dados!$C$28,R8&gt;=-Dados!$C$28,K8&gt;=-Dados!$C$27),"OK","NÃO")</f>
        <v/>
      </c>
      <c r="W8" s="67">
        <f>MAX(IF(K8&gt;Dados!$C$26,0.5*K8*1000*Dados!$C$6*(Dados!$C$7*K8/(K8-L8))/250000*10000,0),IF(L8&gt;Dados!$C$26,0.5*L8*1000*Dados!$C$6*(Dados!$C$7*L8/(L8-K8))/250000*10000,0))</f>
        <v/>
      </c>
    </row>
    <row r="9" ht="15" customHeight="1" s="47">
      <c r="A9" s="63">
        <f>Tracado_Perdas!B9</f>
        <v/>
      </c>
      <c r="B9" s="66">
        <f>Tracado_Perdas!D9</f>
        <v/>
      </c>
      <c r="C9" s="63">
        <f>Tracado_Perdas!S9*Tracado_Perdas!G9</f>
        <v/>
      </c>
      <c r="D9" s="63">
        <f>Tracado_Perdas!AB9*Tracado_Perdas!G9</f>
        <v/>
      </c>
      <c r="E9" s="63">
        <f>Hiperestatico!C9+Hiperestatico!G9</f>
        <v/>
      </c>
      <c r="F9" s="63">
        <f>Hiperestatico!E9+Hiperestatico!H9</f>
        <v/>
      </c>
      <c r="G9" s="67">
        <f>-C9/Dados!$C$8/1000+E9/Dados!$C$10/1000</f>
        <v/>
      </c>
      <c r="H9" s="67">
        <f>-C9/Dados!$C$8/1000-E9/Dados!$C$10/1000</f>
        <v/>
      </c>
      <c r="I9" s="67">
        <f>-D9/Dados!$C$8/1000+F9/Dados!$C$10/1000</f>
        <v/>
      </c>
      <c r="J9" s="67">
        <f>-D9/Dados!$C$8/1000-F9/Dados!$C$10/1000</f>
        <v/>
      </c>
      <c r="K9" s="67">
        <f>G9+Esforcos!D9/Dados!$C$10/1000</f>
        <v/>
      </c>
      <c r="L9" s="67">
        <f>H9-Esforcos!D9/Dados!$C$10/1000</f>
        <v/>
      </c>
      <c r="M9" s="67">
        <f>I9+Esforcos!H9/Dados!$C$10/1000</f>
        <v/>
      </c>
      <c r="N9" s="67">
        <f>J9-Esforcos!I9/Dados!$C$10/1000</f>
        <v/>
      </c>
      <c r="O9" s="67">
        <f>I9+Esforcos!J9/Dados!$C$10/1000</f>
        <v/>
      </c>
      <c r="P9" s="67">
        <f>J9-Esforcos!K9/Dados!$C$10/1000</f>
        <v/>
      </c>
      <c r="Q9" s="67">
        <f>J9-Esforcos!J9/Dados!$C$10/1000</f>
        <v/>
      </c>
      <c r="R9" s="67">
        <f>I9+Esforcos!K9/Dados!$C$10/1000</f>
        <v/>
      </c>
      <c r="S9" s="71">
        <f>IF(AND(K9&lt;=Dados!$C$26,L9&lt;=Dados!$C$26,K9&gt;=-Dados!$C$27,L9&gt;=-Dados!$C$27),"OK","ARMAR")</f>
        <v/>
      </c>
      <c r="T9" s="71">
        <f>IF(AND(M9&lt;=0,N9&lt;=0),"OK","NÃO")</f>
        <v/>
      </c>
      <c r="U9" s="71">
        <f>IF(AND(O9&lt;=Dados!$C$25,P9&lt;=Dados!$C$25),"OK","NÃO")</f>
        <v/>
      </c>
      <c r="V9" s="71">
        <f>IF(AND(Q9&gt;=-Dados!$C$28,R9&gt;=-Dados!$C$28,K9&gt;=-Dados!$C$27),"OK","NÃO")</f>
        <v/>
      </c>
      <c r="W9" s="67">
        <f>MAX(IF(K9&gt;Dados!$C$26,0.5*K9*1000*Dados!$C$6*(Dados!$C$7*K9/(K9-L9))/250000*10000,0),IF(L9&gt;Dados!$C$26,0.5*L9*1000*Dados!$C$6*(Dados!$C$7*L9/(L9-K9))/250000*10000,0))</f>
        <v/>
      </c>
    </row>
    <row r="10" ht="15" customHeight="1" s="47">
      <c r="A10" s="63">
        <f>Tracado_Perdas!B10</f>
        <v/>
      </c>
      <c r="B10" s="66">
        <f>Tracado_Perdas!D10</f>
        <v/>
      </c>
      <c r="C10" s="63">
        <f>Tracado_Perdas!S10*Tracado_Perdas!G10</f>
        <v/>
      </c>
      <c r="D10" s="63">
        <f>Tracado_Perdas!AB10*Tracado_Perdas!G10</f>
        <v/>
      </c>
      <c r="E10" s="63">
        <f>Hiperestatico!C10+Hiperestatico!G10</f>
        <v/>
      </c>
      <c r="F10" s="63">
        <f>Hiperestatico!E10+Hiperestatico!H10</f>
        <v/>
      </c>
      <c r="G10" s="67">
        <f>-C10/Dados!$C$8/1000+E10/Dados!$C$10/1000</f>
        <v/>
      </c>
      <c r="H10" s="67">
        <f>-C10/Dados!$C$8/1000-E10/Dados!$C$10/1000</f>
        <v/>
      </c>
      <c r="I10" s="67">
        <f>-D10/Dados!$C$8/1000+F10/Dados!$C$10/1000</f>
        <v/>
      </c>
      <c r="J10" s="67">
        <f>-D10/Dados!$C$8/1000-F10/Dados!$C$10/1000</f>
        <v/>
      </c>
      <c r="K10" s="67">
        <f>G10+Esforcos!D10/Dados!$C$10/1000</f>
        <v/>
      </c>
      <c r="L10" s="67">
        <f>H10-Esforcos!D10/Dados!$C$10/1000</f>
        <v/>
      </c>
      <c r="M10" s="67">
        <f>I10+Esforcos!H10/Dados!$C$10/1000</f>
        <v/>
      </c>
      <c r="N10" s="67">
        <f>J10-Esforcos!I10/Dados!$C$10/1000</f>
        <v/>
      </c>
      <c r="O10" s="67">
        <f>I10+Esforcos!J10/Dados!$C$10/1000</f>
        <v/>
      </c>
      <c r="P10" s="67">
        <f>J10-Esforcos!K10/Dados!$C$10/1000</f>
        <v/>
      </c>
      <c r="Q10" s="67">
        <f>J10-Esforcos!J10/Dados!$C$10/1000</f>
        <v/>
      </c>
      <c r="R10" s="67">
        <f>I10+Esforcos!K10/Dados!$C$10/1000</f>
        <v/>
      </c>
      <c r="S10" s="71">
        <f>IF(AND(K10&lt;=Dados!$C$26,L10&lt;=Dados!$C$26,K10&gt;=-Dados!$C$27,L10&gt;=-Dados!$C$27),"OK","ARMAR")</f>
        <v/>
      </c>
      <c r="T10" s="71">
        <f>IF(AND(M10&lt;=0,N10&lt;=0),"OK","NÃO")</f>
        <v/>
      </c>
      <c r="U10" s="71">
        <f>IF(AND(O10&lt;=Dados!$C$25,P10&lt;=Dados!$C$25),"OK","NÃO")</f>
        <v/>
      </c>
      <c r="V10" s="71">
        <f>IF(AND(Q10&gt;=-Dados!$C$28,R10&gt;=-Dados!$C$28,K10&gt;=-Dados!$C$27),"OK","NÃO")</f>
        <v/>
      </c>
      <c r="W10" s="67">
        <f>MAX(IF(K10&gt;Dados!$C$26,0.5*K10*1000*Dados!$C$6*(Dados!$C$7*K10/(K10-L10))/250000*10000,0),IF(L10&gt;Dados!$C$26,0.5*L10*1000*Dados!$C$6*(Dados!$C$7*L10/(L10-K10))/250000*10000,0))</f>
        <v/>
      </c>
    </row>
    <row r="11" ht="15" customHeight="1" s="47">
      <c r="A11" s="63">
        <f>Tracado_Perdas!B11</f>
        <v/>
      </c>
      <c r="B11" s="66">
        <f>Tracado_Perdas!D11</f>
        <v/>
      </c>
      <c r="C11" s="63">
        <f>Tracado_Perdas!S11*Tracado_Perdas!G11</f>
        <v/>
      </c>
      <c r="D11" s="63">
        <f>Tracado_Perdas!AB11*Tracado_Perdas!G11</f>
        <v/>
      </c>
      <c r="E11" s="63">
        <f>Hiperestatico!C11+Hiperestatico!G11</f>
        <v/>
      </c>
      <c r="F11" s="63">
        <f>Hiperestatico!E11+Hiperestatico!H11</f>
        <v/>
      </c>
      <c r="G11" s="67">
        <f>-C11/Dados!$C$8/1000+E11/Dados!$C$10/1000</f>
        <v/>
      </c>
      <c r="H11" s="67">
        <f>-C11/Dados!$C$8/1000-E11/Dados!$C$10/1000</f>
        <v/>
      </c>
      <c r="I11" s="67">
        <f>-D11/Dados!$C$8/1000+F11/Dados!$C$10/1000</f>
        <v/>
      </c>
      <c r="J11" s="67">
        <f>-D11/Dados!$C$8/1000-F11/Dados!$C$10/1000</f>
        <v/>
      </c>
      <c r="K11" s="67">
        <f>G11+Esforcos!D11/Dados!$C$10/1000</f>
        <v/>
      </c>
      <c r="L11" s="67">
        <f>H11-Esforcos!D11/Dados!$C$10/1000</f>
        <v/>
      </c>
      <c r="M11" s="67">
        <f>I11+Esforcos!H11/Dados!$C$10/1000</f>
        <v/>
      </c>
      <c r="N11" s="67">
        <f>J11-Esforcos!I11/Dados!$C$10/1000</f>
        <v/>
      </c>
      <c r="O11" s="67">
        <f>I11+Esforcos!J11/Dados!$C$10/1000</f>
        <v/>
      </c>
      <c r="P11" s="67">
        <f>J11-Esforcos!K11/Dados!$C$10/1000</f>
        <v/>
      </c>
      <c r="Q11" s="67">
        <f>J11-Esforcos!J11/Dados!$C$10/1000</f>
        <v/>
      </c>
      <c r="R11" s="67">
        <f>I11+Esforcos!K11/Dados!$C$10/1000</f>
        <v/>
      </c>
      <c r="S11" s="71">
        <f>IF(AND(K11&lt;=Dados!$C$26,L11&lt;=Dados!$C$26,K11&gt;=-Dados!$C$27,L11&gt;=-Dados!$C$27),"OK","ARMAR")</f>
        <v/>
      </c>
      <c r="T11" s="71">
        <f>IF(AND(M11&lt;=0,N11&lt;=0),"OK","NÃO")</f>
        <v/>
      </c>
      <c r="U11" s="71">
        <f>IF(AND(O11&lt;=Dados!$C$25,P11&lt;=Dados!$C$25),"OK","NÃO")</f>
        <v/>
      </c>
      <c r="V11" s="71">
        <f>IF(AND(Q11&gt;=-Dados!$C$28,R11&gt;=-Dados!$C$28,K11&gt;=-Dados!$C$27),"OK","NÃO")</f>
        <v/>
      </c>
      <c r="W11" s="67">
        <f>MAX(IF(K11&gt;Dados!$C$26,0.5*K11*1000*Dados!$C$6*(Dados!$C$7*K11/(K11-L11))/250000*10000,0),IF(L11&gt;Dados!$C$26,0.5*L11*1000*Dados!$C$6*(Dados!$C$7*L11/(L11-K11))/250000*10000,0))</f>
        <v/>
      </c>
    </row>
    <row r="12" ht="15" customHeight="1" s="47">
      <c r="A12" s="63">
        <f>Tracado_Perdas!B12</f>
        <v/>
      </c>
      <c r="B12" s="66">
        <f>Tracado_Perdas!D12</f>
        <v/>
      </c>
      <c r="C12" s="63">
        <f>Tracado_Perdas!S12*Tracado_Perdas!G12</f>
        <v/>
      </c>
      <c r="D12" s="63">
        <f>Tracado_Perdas!AB12*Tracado_Perdas!G12</f>
        <v/>
      </c>
      <c r="E12" s="63">
        <f>Hiperestatico!C12+Hiperestatico!G12</f>
        <v/>
      </c>
      <c r="F12" s="63">
        <f>Hiperestatico!E12+Hiperestatico!H12</f>
        <v/>
      </c>
      <c r="G12" s="67">
        <f>-C12/Dados!$C$8/1000+E12/Dados!$C$10/1000</f>
        <v/>
      </c>
      <c r="H12" s="67">
        <f>-C12/Dados!$C$8/1000-E12/Dados!$C$10/1000</f>
        <v/>
      </c>
      <c r="I12" s="67">
        <f>-D12/Dados!$C$8/1000+F12/Dados!$C$10/1000</f>
        <v/>
      </c>
      <c r="J12" s="67">
        <f>-D12/Dados!$C$8/1000-F12/Dados!$C$10/1000</f>
        <v/>
      </c>
      <c r="K12" s="67">
        <f>G12+Esforcos!D12/Dados!$C$10/1000</f>
        <v/>
      </c>
      <c r="L12" s="67">
        <f>H12-Esforcos!D12/Dados!$C$10/1000</f>
        <v/>
      </c>
      <c r="M12" s="67">
        <f>I12+Esforcos!H12/Dados!$C$10/1000</f>
        <v/>
      </c>
      <c r="N12" s="67">
        <f>J12-Esforcos!I12/Dados!$C$10/1000</f>
        <v/>
      </c>
      <c r="O12" s="67">
        <f>I12+Esforcos!J12/Dados!$C$10/1000</f>
        <v/>
      </c>
      <c r="P12" s="67">
        <f>J12-Esforcos!K12/Dados!$C$10/1000</f>
        <v/>
      </c>
      <c r="Q12" s="67">
        <f>J12-Esforcos!J12/Dados!$C$10/1000</f>
        <v/>
      </c>
      <c r="R12" s="67">
        <f>I12+Esforcos!K12/Dados!$C$10/1000</f>
        <v/>
      </c>
      <c r="S12" s="71">
        <f>IF(AND(K12&lt;=Dados!$C$26,L12&lt;=Dados!$C$26,K12&gt;=-Dados!$C$27,L12&gt;=-Dados!$C$27),"OK","ARMAR")</f>
        <v/>
      </c>
      <c r="T12" s="71">
        <f>IF(AND(M12&lt;=0,N12&lt;=0),"OK","NÃO")</f>
        <v/>
      </c>
      <c r="U12" s="71">
        <f>IF(AND(O12&lt;=Dados!$C$25,P12&lt;=Dados!$C$25),"OK","NÃO")</f>
        <v/>
      </c>
      <c r="V12" s="71">
        <f>IF(AND(Q12&gt;=-Dados!$C$28,R12&gt;=-Dados!$C$28,K12&gt;=-Dados!$C$27),"OK","NÃO")</f>
        <v/>
      </c>
      <c r="W12" s="67">
        <f>MAX(IF(K12&gt;Dados!$C$26,0.5*K12*1000*Dados!$C$6*(Dados!$C$7*K12/(K12-L12))/250000*10000,0),IF(L12&gt;Dados!$C$26,0.5*L12*1000*Dados!$C$6*(Dados!$C$7*L12/(L12-K12))/250000*10000,0))</f>
        <v/>
      </c>
    </row>
    <row r="13" ht="15" customHeight="1" s="47">
      <c r="A13" s="63">
        <f>Tracado_Perdas!B13</f>
        <v/>
      </c>
      <c r="B13" s="66">
        <f>Tracado_Perdas!D13</f>
        <v/>
      </c>
      <c r="C13" s="63">
        <f>Tracado_Perdas!S13*Tracado_Perdas!G13</f>
        <v/>
      </c>
      <c r="D13" s="63">
        <f>Tracado_Perdas!AB13*Tracado_Perdas!G13</f>
        <v/>
      </c>
      <c r="E13" s="63">
        <f>Hiperestatico!C13+Hiperestatico!G13</f>
        <v/>
      </c>
      <c r="F13" s="63">
        <f>Hiperestatico!E13+Hiperestatico!H13</f>
        <v/>
      </c>
      <c r="G13" s="67">
        <f>-C13/Dados!$C$8/1000+E13/Dados!$C$10/1000</f>
        <v/>
      </c>
      <c r="H13" s="67">
        <f>-C13/Dados!$C$8/1000-E13/Dados!$C$10/1000</f>
        <v/>
      </c>
      <c r="I13" s="67">
        <f>-D13/Dados!$C$8/1000+F13/Dados!$C$10/1000</f>
        <v/>
      </c>
      <c r="J13" s="67">
        <f>-D13/Dados!$C$8/1000-F13/Dados!$C$10/1000</f>
        <v/>
      </c>
      <c r="K13" s="67">
        <f>G13+Esforcos!D13/Dados!$C$10/1000</f>
        <v/>
      </c>
      <c r="L13" s="67">
        <f>H13-Esforcos!D13/Dados!$C$10/1000</f>
        <v/>
      </c>
      <c r="M13" s="67">
        <f>I13+Esforcos!H13/Dados!$C$10/1000</f>
        <v/>
      </c>
      <c r="N13" s="67">
        <f>J13-Esforcos!I13/Dados!$C$10/1000</f>
        <v/>
      </c>
      <c r="O13" s="67">
        <f>I13+Esforcos!J13/Dados!$C$10/1000</f>
        <v/>
      </c>
      <c r="P13" s="67">
        <f>J13-Esforcos!K13/Dados!$C$10/1000</f>
        <v/>
      </c>
      <c r="Q13" s="67">
        <f>J13-Esforcos!J13/Dados!$C$10/1000</f>
        <v/>
      </c>
      <c r="R13" s="67">
        <f>I13+Esforcos!K13/Dados!$C$10/1000</f>
        <v/>
      </c>
      <c r="S13" s="71">
        <f>IF(AND(K13&lt;=Dados!$C$26,L13&lt;=Dados!$C$26,K13&gt;=-Dados!$C$27,L13&gt;=-Dados!$C$27),"OK","ARMAR")</f>
        <v/>
      </c>
      <c r="T13" s="71">
        <f>IF(AND(M13&lt;=0,N13&lt;=0),"OK","NÃO")</f>
        <v/>
      </c>
      <c r="U13" s="71">
        <f>IF(AND(O13&lt;=Dados!$C$25,P13&lt;=Dados!$C$25),"OK","NÃO")</f>
        <v/>
      </c>
      <c r="V13" s="71">
        <f>IF(AND(Q13&gt;=-Dados!$C$28,R13&gt;=-Dados!$C$28,K13&gt;=-Dados!$C$27),"OK","NÃO")</f>
        <v/>
      </c>
      <c r="W13" s="67">
        <f>MAX(IF(K13&gt;Dados!$C$26,0.5*K13*1000*Dados!$C$6*(Dados!$C$7*K13/(K13-L13))/250000*10000,0),IF(L13&gt;Dados!$C$26,0.5*L13*1000*Dados!$C$6*(Dados!$C$7*L13/(L13-K13))/250000*10000,0))</f>
        <v/>
      </c>
    </row>
    <row r="14" ht="15" customHeight="1" s="47">
      <c r="A14" s="63">
        <f>Tracado_Perdas!B14</f>
        <v/>
      </c>
      <c r="B14" s="66">
        <f>Tracado_Perdas!D14</f>
        <v/>
      </c>
      <c r="C14" s="63">
        <f>Tracado_Perdas!S14*Tracado_Perdas!G14</f>
        <v/>
      </c>
      <c r="D14" s="63">
        <f>Tracado_Perdas!AB14*Tracado_Perdas!G14</f>
        <v/>
      </c>
      <c r="E14" s="63">
        <f>Hiperestatico!C14+Hiperestatico!G14</f>
        <v/>
      </c>
      <c r="F14" s="63">
        <f>Hiperestatico!E14+Hiperestatico!H14</f>
        <v/>
      </c>
      <c r="G14" s="67">
        <f>-C14/Dados!$C$8/1000+E14/Dados!$C$10/1000</f>
        <v/>
      </c>
      <c r="H14" s="67">
        <f>-C14/Dados!$C$8/1000-E14/Dados!$C$10/1000</f>
        <v/>
      </c>
      <c r="I14" s="67">
        <f>-D14/Dados!$C$8/1000+F14/Dados!$C$10/1000</f>
        <v/>
      </c>
      <c r="J14" s="67">
        <f>-D14/Dados!$C$8/1000-F14/Dados!$C$10/1000</f>
        <v/>
      </c>
      <c r="K14" s="67">
        <f>G14+Esforcos!D14/Dados!$C$10/1000</f>
        <v/>
      </c>
      <c r="L14" s="67">
        <f>H14-Esforcos!D14/Dados!$C$10/1000</f>
        <v/>
      </c>
      <c r="M14" s="67">
        <f>I14+Esforcos!H14/Dados!$C$10/1000</f>
        <v/>
      </c>
      <c r="N14" s="67">
        <f>J14-Esforcos!I14/Dados!$C$10/1000</f>
        <v/>
      </c>
      <c r="O14" s="67">
        <f>I14+Esforcos!J14/Dados!$C$10/1000</f>
        <v/>
      </c>
      <c r="P14" s="67">
        <f>J14-Esforcos!K14/Dados!$C$10/1000</f>
        <v/>
      </c>
      <c r="Q14" s="67">
        <f>J14-Esforcos!J14/Dados!$C$10/1000</f>
        <v/>
      </c>
      <c r="R14" s="67">
        <f>I14+Esforcos!K14/Dados!$C$10/1000</f>
        <v/>
      </c>
      <c r="S14" s="71">
        <f>IF(AND(K14&lt;=Dados!$C$26,L14&lt;=Dados!$C$26,K14&gt;=-Dados!$C$27,L14&gt;=-Dados!$C$27),"OK","ARMAR")</f>
        <v/>
      </c>
      <c r="T14" s="71">
        <f>IF(AND(M14&lt;=0,N14&lt;=0),"OK","NÃO")</f>
        <v/>
      </c>
      <c r="U14" s="71">
        <f>IF(AND(O14&lt;=Dados!$C$25,P14&lt;=Dados!$C$25),"OK","NÃO")</f>
        <v/>
      </c>
      <c r="V14" s="71">
        <f>IF(AND(Q14&gt;=-Dados!$C$28,R14&gt;=-Dados!$C$28,K14&gt;=-Dados!$C$27),"OK","NÃO")</f>
        <v/>
      </c>
      <c r="W14" s="67">
        <f>MAX(IF(K14&gt;Dados!$C$26,0.5*K14*1000*Dados!$C$6*(Dados!$C$7*K14/(K14-L14))/250000*10000,0),IF(L14&gt;Dados!$C$26,0.5*L14*1000*Dados!$C$6*(Dados!$C$7*L14/(L14-K14))/250000*10000,0))</f>
        <v/>
      </c>
    </row>
    <row r="15" ht="15" customHeight="1" s="47">
      <c r="A15" s="63">
        <f>Tracado_Perdas!B15</f>
        <v/>
      </c>
      <c r="B15" s="66">
        <f>Tracado_Perdas!D15</f>
        <v/>
      </c>
      <c r="C15" s="63">
        <f>Tracado_Perdas!S15*Tracado_Perdas!G15</f>
        <v/>
      </c>
      <c r="D15" s="63">
        <f>Tracado_Perdas!AB15*Tracado_Perdas!G15</f>
        <v/>
      </c>
      <c r="E15" s="63">
        <f>Hiperestatico!C15+Hiperestatico!G15</f>
        <v/>
      </c>
      <c r="F15" s="63">
        <f>Hiperestatico!E15+Hiperestatico!H15</f>
        <v/>
      </c>
      <c r="G15" s="67">
        <f>-C15/Dados!$C$8/1000+E15/Dados!$C$10/1000</f>
        <v/>
      </c>
      <c r="H15" s="67">
        <f>-C15/Dados!$C$8/1000-E15/Dados!$C$10/1000</f>
        <v/>
      </c>
      <c r="I15" s="67">
        <f>-D15/Dados!$C$8/1000+F15/Dados!$C$10/1000</f>
        <v/>
      </c>
      <c r="J15" s="67">
        <f>-D15/Dados!$C$8/1000-F15/Dados!$C$10/1000</f>
        <v/>
      </c>
      <c r="K15" s="67">
        <f>G15+Esforcos!D15/Dados!$C$10/1000</f>
        <v/>
      </c>
      <c r="L15" s="67">
        <f>H15-Esforcos!D15/Dados!$C$10/1000</f>
        <v/>
      </c>
      <c r="M15" s="67">
        <f>I15+Esforcos!H15/Dados!$C$10/1000</f>
        <v/>
      </c>
      <c r="N15" s="67">
        <f>J15-Esforcos!I15/Dados!$C$10/1000</f>
        <v/>
      </c>
      <c r="O15" s="67">
        <f>I15+Esforcos!J15/Dados!$C$10/1000</f>
        <v/>
      </c>
      <c r="P15" s="67">
        <f>J15-Esforcos!K15/Dados!$C$10/1000</f>
        <v/>
      </c>
      <c r="Q15" s="67">
        <f>J15-Esforcos!J15/Dados!$C$10/1000</f>
        <v/>
      </c>
      <c r="R15" s="67">
        <f>I15+Esforcos!K15/Dados!$C$10/1000</f>
        <v/>
      </c>
      <c r="S15" s="71">
        <f>IF(AND(K15&lt;=Dados!$C$26,L15&lt;=Dados!$C$26,K15&gt;=-Dados!$C$27,L15&gt;=-Dados!$C$27),"OK","ARMAR")</f>
        <v/>
      </c>
      <c r="T15" s="71">
        <f>IF(AND(M15&lt;=0,N15&lt;=0),"OK","NÃO")</f>
        <v/>
      </c>
      <c r="U15" s="71">
        <f>IF(AND(O15&lt;=Dados!$C$25,P15&lt;=Dados!$C$25),"OK","NÃO")</f>
        <v/>
      </c>
      <c r="V15" s="71">
        <f>IF(AND(Q15&gt;=-Dados!$C$28,R15&gt;=-Dados!$C$28,K15&gt;=-Dados!$C$27),"OK","NÃO")</f>
        <v/>
      </c>
      <c r="W15" s="67">
        <f>MAX(IF(K15&gt;Dados!$C$26,0.5*K15*1000*Dados!$C$6*(Dados!$C$7*K15/(K15-L15))/250000*10000,0),IF(L15&gt;Dados!$C$26,0.5*L15*1000*Dados!$C$6*(Dados!$C$7*L15/(L15-K15))/250000*10000,0))</f>
        <v/>
      </c>
    </row>
    <row r="16" ht="15" customHeight="1" s="47">
      <c r="A16" s="63">
        <f>Tracado_Perdas!B16</f>
        <v/>
      </c>
      <c r="B16" s="66">
        <f>Tracado_Perdas!D16</f>
        <v/>
      </c>
      <c r="C16" s="63">
        <f>Tracado_Perdas!S16*Tracado_Perdas!G16</f>
        <v/>
      </c>
      <c r="D16" s="63">
        <f>Tracado_Perdas!AB16*Tracado_Perdas!G16</f>
        <v/>
      </c>
      <c r="E16" s="63">
        <f>Hiperestatico!C16+Hiperestatico!G16</f>
        <v/>
      </c>
      <c r="F16" s="63">
        <f>Hiperestatico!E16+Hiperestatico!H16</f>
        <v/>
      </c>
      <c r="G16" s="67">
        <f>-C16/Dados!$C$8/1000+E16/Dados!$C$10/1000</f>
        <v/>
      </c>
      <c r="H16" s="67">
        <f>-C16/Dados!$C$8/1000-E16/Dados!$C$10/1000</f>
        <v/>
      </c>
      <c r="I16" s="67">
        <f>-D16/Dados!$C$8/1000+F16/Dados!$C$10/1000</f>
        <v/>
      </c>
      <c r="J16" s="67">
        <f>-D16/Dados!$C$8/1000-F16/Dados!$C$10/1000</f>
        <v/>
      </c>
      <c r="K16" s="67">
        <f>G16+Esforcos!D16/Dados!$C$10/1000</f>
        <v/>
      </c>
      <c r="L16" s="67">
        <f>H16-Esforcos!D16/Dados!$C$10/1000</f>
        <v/>
      </c>
      <c r="M16" s="67">
        <f>I16+Esforcos!H16/Dados!$C$10/1000</f>
        <v/>
      </c>
      <c r="N16" s="67">
        <f>J16-Esforcos!I16/Dados!$C$10/1000</f>
        <v/>
      </c>
      <c r="O16" s="67">
        <f>I16+Esforcos!J16/Dados!$C$10/1000</f>
        <v/>
      </c>
      <c r="P16" s="67">
        <f>J16-Esforcos!K16/Dados!$C$10/1000</f>
        <v/>
      </c>
      <c r="Q16" s="67">
        <f>J16-Esforcos!J16/Dados!$C$10/1000</f>
        <v/>
      </c>
      <c r="R16" s="67">
        <f>I16+Esforcos!K16/Dados!$C$10/1000</f>
        <v/>
      </c>
      <c r="S16" s="71">
        <f>IF(AND(K16&lt;=Dados!$C$26,L16&lt;=Dados!$C$26,K16&gt;=-Dados!$C$27,L16&gt;=-Dados!$C$27),"OK","ARMAR")</f>
        <v/>
      </c>
      <c r="T16" s="71">
        <f>IF(AND(M16&lt;=0,N16&lt;=0),"OK","NÃO")</f>
        <v/>
      </c>
      <c r="U16" s="71">
        <f>IF(AND(O16&lt;=Dados!$C$25,P16&lt;=Dados!$C$25),"OK","NÃO")</f>
        <v/>
      </c>
      <c r="V16" s="71">
        <f>IF(AND(Q16&gt;=-Dados!$C$28,R16&gt;=-Dados!$C$28,K16&gt;=-Dados!$C$27),"OK","NÃO")</f>
        <v/>
      </c>
      <c r="W16" s="67">
        <f>MAX(IF(K16&gt;Dados!$C$26,0.5*K16*1000*Dados!$C$6*(Dados!$C$7*K16/(K16-L16))/250000*10000,0),IF(L16&gt;Dados!$C$26,0.5*L16*1000*Dados!$C$6*(Dados!$C$7*L16/(L16-K16))/250000*10000,0))</f>
        <v/>
      </c>
    </row>
    <row r="17" ht="15" customHeight="1" s="47">
      <c r="A17" s="63">
        <f>Tracado_Perdas!B17</f>
        <v/>
      </c>
      <c r="B17" s="66">
        <f>Tracado_Perdas!D17</f>
        <v/>
      </c>
      <c r="C17" s="63">
        <f>Tracado_Perdas!S17*Tracado_Perdas!G17</f>
        <v/>
      </c>
      <c r="D17" s="63">
        <f>Tracado_Perdas!AB17*Tracado_Perdas!G17</f>
        <v/>
      </c>
      <c r="E17" s="63">
        <f>Hiperestatico!C17+Hiperestatico!G17</f>
        <v/>
      </c>
      <c r="F17" s="63">
        <f>Hiperestatico!E17+Hiperestatico!H17</f>
        <v/>
      </c>
      <c r="G17" s="67">
        <f>-C17/Dados!$C$8/1000+E17/Dados!$C$10/1000</f>
        <v/>
      </c>
      <c r="H17" s="67">
        <f>-C17/Dados!$C$8/1000-E17/Dados!$C$10/1000</f>
        <v/>
      </c>
      <c r="I17" s="67">
        <f>-D17/Dados!$C$8/1000+F17/Dados!$C$10/1000</f>
        <v/>
      </c>
      <c r="J17" s="67">
        <f>-D17/Dados!$C$8/1000-F17/Dados!$C$10/1000</f>
        <v/>
      </c>
      <c r="K17" s="67">
        <f>G17+Esforcos!D17/Dados!$C$10/1000</f>
        <v/>
      </c>
      <c r="L17" s="67">
        <f>H17-Esforcos!D17/Dados!$C$10/1000</f>
        <v/>
      </c>
      <c r="M17" s="67">
        <f>I17+Esforcos!H17/Dados!$C$10/1000</f>
        <v/>
      </c>
      <c r="N17" s="67">
        <f>J17-Esforcos!I17/Dados!$C$10/1000</f>
        <v/>
      </c>
      <c r="O17" s="67">
        <f>I17+Esforcos!J17/Dados!$C$10/1000</f>
        <v/>
      </c>
      <c r="P17" s="67">
        <f>J17-Esforcos!K17/Dados!$C$10/1000</f>
        <v/>
      </c>
      <c r="Q17" s="67">
        <f>J17-Esforcos!J17/Dados!$C$10/1000</f>
        <v/>
      </c>
      <c r="R17" s="67">
        <f>I17+Esforcos!K17/Dados!$C$10/1000</f>
        <v/>
      </c>
      <c r="S17" s="71">
        <f>IF(AND(K17&lt;=Dados!$C$26,L17&lt;=Dados!$C$26,K17&gt;=-Dados!$C$27,L17&gt;=-Dados!$C$27),"OK","ARMAR")</f>
        <v/>
      </c>
      <c r="T17" s="71">
        <f>IF(AND(M17&lt;=0,N17&lt;=0),"OK","NÃO")</f>
        <v/>
      </c>
      <c r="U17" s="71">
        <f>IF(AND(O17&lt;=Dados!$C$25,P17&lt;=Dados!$C$25),"OK","NÃO")</f>
        <v/>
      </c>
      <c r="V17" s="71">
        <f>IF(AND(Q17&gt;=-Dados!$C$28,R17&gt;=-Dados!$C$28,K17&gt;=-Dados!$C$27),"OK","NÃO")</f>
        <v/>
      </c>
      <c r="W17" s="67">
        <f>MAX(IF(K17&gt;Dados!$C$26,0.5*K17*1000*Dados!$C$6*(Dados!$C$7*K17/(K17-L17))/250000*10000,0),IF(L17&gt;Dados!$C$26,0.5*L17*1000*Dados!$C$6*(Dados!$C$7*L17/(L17-K17))/250000*10000,0))</f>
        <v/>
      </c>
    </row>
    <row r="18" ht="15" customHeight="1" s="47">
      <c r="A18" s="63">
        <f>Tracado_Perdas!B18</f>
        <v/>
      </c>
      <c r="B18" s="66">
        <f>Tracado_Perdas!D18</f>
        <v/>
      </c>
      <c r="C18" s="63">
        <f>Tracado_Perdas!S18*Tracado_Perdas!G18</f>
        <v/>
      </c>
      <c r="D18" s="63">
        <f>Tracado_Perdas!AB18*Tracado_Perdas!G18</f>
        <v/>
      </c>
      <c r="E18" s="63">
        <f>Hiperestatico!C18+Hiperestatico!G18</f>
        <v/>
      </c>
      <c r="F18" s="63">
        <f>Hiperestatico!E18+Hiperestatico!H18</f>
        <v/>
      </c>
      <c r="G18" s="67">
        <f>-C18/Dados!$C$8/1000+E18/Dados!$C$10/1000</f>
        <v/>
      </c>
      <c r="H18" s="67">
        <f>-C18/Dados!$C$8/1000-E18/Dados!$C$10/1000</f>
        <v/>
      </c>
      <c r="I18" s="67">
        <f>-D18/Dados!$C$8/1000+F18/Dados!$C$10/1000</f>
        <v/>
      </c>
      <c r="J18" s="67">
        <f>-D18/Dados!$C$8/1000-F18/Dados!$C$10/1000</f>
        <v/>
      </c>
      <c r="K18" s="67">
        <f>G18+Esforcos!D18/Dados!$C$10/1000</f>
        <v/>
      </c>
      <c r="L18" s="67">
        <f>H18-Esforcos!D18/Dados!$C$10/1000</f>
        <v/>
      </c>
      <c r="M18" s="67">
        <f>I18+Esforcos!H18/Dados!$C$10/1000</f>
        <v/>
      </c>
      <c r="N18" s="67">
        <f>J18-Esforcos!I18/Dados!$C$10/1000</f>
        <v/>
      </c>
      <c r="O18" s="67">
        <f>I18+Esforcos!J18/Dados!$C$10/1000</f>
        <v/>
      </c>
      <c r="P18" s="67">
        <f>J18-Esforcos!K18/Dados!$C$10/1000</f>
        <v/>
      </c>
      <c r="Q18" s="67">
        <f>J18-Esforcos!J18/Dados!$C$10/1000</f>
        <v/>
      </c>
      <c r="R18" s="67">
        <f>I18+Esforcos!K18/Dados!$C$10/1000</f>
        <v/>
      </c>
      <c r="S18" s="71">
        <f>IF(AND(K18&lt;=Dados!$C$26,L18&lt;=Dados!$C$26,K18&gt;=-Dados!$C$27,L18&gt;=-Dados!$C$27),"OK","ARMAR")</f>
        <v/>
      </c>
      <c r="T18" s="71">
        <f>IF(AND(M18&lt;=0,N18&lt;=0),"OK","NÃO")</f>
        <v/>
      </c>
      <c r="U18" s="71">
        <f>IF(AND(O18&lt;=Dados!$C$25,P18&lt;=Dados!$C$25),"OK","NÃO")</f>
        <v/>
      </c>
      <c r="V18" s="71">
        <f>IF(AND(Q18&gt;=-Dados!$C$28,R18&gt;=-Dados!$C$28,K18&gt;=-Dados!$C$27),"OK","NÃO")</f>
        <v/>
      </c>
      <c r="W18" s="67">
        <f>MAX(IF(K18&gt;Dados!$C$26,0.5*K18*1000*Dados!$C$6*(Dados!$C$7*K18/(K18-L18))/250000*10000,0),IF(L18&gt;Dados!$C$26,0.5*L18*1000*Dados!$C$6*(Dados!$C$7*L18/(L18-K18))/250000*10000,0))</f>
        <v/>
      </c>
    </row>
    <row r="19" ht="15" customHeight="1" s="47">
      <c r="A19" s="63">
        <f>Tracado_Perdas!B19</f>
        <v/>
      </c>
      <c r="B19" s="66">
        <f>Tracado_Perdas!D19</f>
        <v/>
      </c>
      <c r="C19" s="63">
        <f>Tracado_Perdas!S19*Tracado_Perdas!G19</f>
        <v/>
      </c>
      <c r="D19" s="63">
        <f>Tracado_Perdas!AB19*Tracado_Perdas!G19</f>
        <v/>
      </c>
      <c r="E19" s="63">
        <f>Hiperestatico!C19+Hiperestatico!G19</f>
        <v/>
      </c>
      <c r="F19" s="63">
        <f>Hiperestatico!E19+Hiperestatico!H19</f>
        <v/>
      </c>
      <c r="G19" s="67">
        <f>-C19/Dados!$C$8/1000+E19/Dados!$C$10/1000</f>
        <v/>
      </c>
      <c r="H19" s="67">
        <f>-C19/Dados!$C$8/1000-E19/Dados!$C$10/1000</f>
        <v/>
      </c>
      <c r="I19" s="67">
        <f>-D19/Dados!$C$8/1000+F19/Dados!$C$10/1000</f>
        <v/>
      </c>
      <c r="J19" s="67">
        <f>-D19/Dados!$C$8/1000-F19/Dados!$C$10/1000</f>
        <v/>
      </c>
      <c r="K19" s="67">
        <f>G19+Esforcos!D19/Dados!$C$10/1000</f>
        <v/>
      </c>
      <c r="L19" s="67">
        <f>H19-Esforcos!D19/Dados!$C$10/1000</f>
        <v/>
      </c>
      <c r="M19" s="67">
        <f>I19+Esforcos!H19/Dados!$C$10/1000</f>
        <v/>
      </c>
      <c r="N19" s="67">
        <f>J19-Esforcos!I19/Dados!$C$10/1000</f>
        <v/>
      </c>
      <c r="O19" s="67">
        <f>I19+Esforcos!J19/Dados!$C$10/1000</f>
        <v/>
      </c>
      <c r="P19" s="67">
        <f>J19-Esforcos!K19/Dados!$C$10/1000</f>
        <v/>
      </c>
      <c r="Q19" s="67">
        <f>J19-Esforcos!J19/Dados!$C$10/1000</f>
        <v/>
      </c>
      <c r="R19" s="67">
        <f>I19+Esforcos!K19/Dados!$C$10/1000</f>
        <v/>
      </c>
      <c r="S19" s="71">
        <f>IF(AND(K19&lt;=Dados!$C$26,L19&lt;=Dados!$C$26,K19&gt;=-Dados!$C$27,L19&gt;=-Dados!$C$27),"OK","ARMAR")</f>
        <v/>
      </c>
      <c r="T19" s="71">
        <f>IF(AND(M19&lt;=0,N19&lt;=0),"OK","NÃO")</f>
        <v/>
      </c>
      <c r="U19" s="71">
        <f>IF(AND(O19&lt;=Dados!$C$25,P19&lt;=Dados!$C$25),"OK","NÃO")</f>
        <v/>
      </c>
      <c r="V19" s="71">
        <f>IF(AND(Q19&gt;=-Dados!$C$28,R19&gt;=-Dados!$C$28,K19&gt;=-Dados!$C$27),"OK","NÃO")</f>
        <v/>
      </c>
      <c r="W19" s="67">
        <f>MAX(IF(K19&gt;Dados!$C$26,0.5*K19*1000*Dados!$C$6*(Dados!$C$7*K19/(K19-L19))/250000*10000,0),IF(L19&gt;Dados!$C$26,0.5*L19*1000*Dados!$C$6*(Dados!$C$7*L19/(L19-K19))/250000*10000,0))</f>
        <v/>
      </c>
    </row>
    <row r="20" ht="15" customHeight="1" s="47">
      <c r="A20" s="63">
        <f>Tracado_Perdas!B20</f>
        <v/>
      </c>
      <c r="B20" s="66">
        <f>Tracado_Perdas!D20</f>
        <v/>
      </c>
      <c r="C20" s="63">
        <f>Tracado_Perdas!S20*Tracado_Perdas!G20</f>
        <v/>
      </c>
      <c r="D20" s="63">
        <f>Tracado_Perdas!AB20*Tracado_Perdas!G20</f>
        <v/>
      </c>
      <c r="E20" s="63">
        <f>Hiperestatico!C20+Hiperestatico!G20</f>
        <v/>
      </c>
      <c r="F20" s="63">
        <f>Hiperestatico!E20+Hiperestatico!H20</f>
        <v/>
      </c>
      <c r="G20" s="67">
        <f>-C20/Dados!$C$8/1000+E20/Dados!$C$10/1000</f>
        <v/>
      </c>
      <c r="H20" s="67">
        <f>-C20/Dados!$C$8/1000-E20/Dados!$C$10/1000</f>
        <v/>
      </c>
      <c r="I20" s="67">
        <f>-D20/Dados!$C$8/1000+F20/Dados!$C$10/1000</f>
        <v/>
      </c>
      <c r="J20" s="67">
        <f>-D20/Dados!$C$8/1000-F20/Dados!$C$10/1000</f>
        <v/>
      </c>
      <c r="K20" s="67">
        <f>G20+Esforcos!D20/Dados!$C$10/1000</f>
        <v/>
      </c>
      <c r="L20" s="67">
        <f>H20-Esforcos!D20/Dados!$C$10/1000</f>
        <v/>
      </c>
      <c r="M20" s="67">
        <f>I20+Esforcos!H20/Dados!$C$10/1000</f>
        <v/>
      </c>
      <c r="N20" s="67">
        <f>J20-Esforcos!I20/Dados!$C$10/1000</f>
        <v/>
      </c>
      <c r="O20" s="67">
        <f>I20+Esforcos!J20/Dados!$C$10/1000</f>
        <v/>
      </c>
      <c r="P20" s="67">
        <f>J20-Esforcos!K20/Dados!$C$10/1000</f>
        <v/>
      </c>
      <c r="Q20" s="67">
        <f>J20-Esforcos!J20/Dados!$C$10/1000</f>
        <v/>
      </c>
      <c r="R20" s="67">
        <f>I20+Esforcos!K20/Dados!$C$10/1000</f>
        <v/>
      </c>
      <c r="S20" s="71">
        <f>IF(AND(K20&lt;=Dados!$C$26,L20&lt;=Dados!$C$26,K20&gt;=-Dados!$C$27,L20&gt;=-Dados!$C$27),"OK","ARMAR")</f>
        <v/>
      </c>
      <c r="T20" s="71">
        <f>IF(AND(M20&lt;=0,N20&lt;=0),"OK","NÃO")</f>
        <v/>
      </c>
      <c r="U20" s="71">
        <f>IF(AND(O20&lt;=Dados!$C$25,P20&lt;=Dados!$C$25),"OK","NÃO")</f>
        <v/>
      </c>
      <c r="V20" s="71">
        <f>IF(AND(Q20&gt;=-Dados!$C$28,R20&gt;=-Dados!$C$28,K20&gt;=-Dados!$C$27),"OK","NÃO")</f>
        <v/>
      </c>
      <c r="W20" s="67">
        <f>MAX(IF(K20&gt;Dados!$C$26,0.5*K20*1000*Dados!$C$6*(Dados!$C$7*K20/(K20-L20))/250000*10000,0),IF(L20&gt;Dados!$C$26,0.5*L20*1000*Dados!$C$6*(Dados!$C$7*L20/(L20-K20))/250000*10000,0))</f>
        <v/>
      </c>
    </row>
    <row r="21" ht="15" customHeight="1" s="47">
      <c r="A21" s="63">
        <f>Tracado_Perdas!B21</f>
        <v/>
      </c>
      <c r="B21" s="66">
        <f>Tracado_Perdas!D21</f>
        <v/>
      </c>
      <c r="C21" s="63">
        <f>Tracado_Perdas!S21*Tracado_Perdas!G21</f>
        <v/>
      </c>
      <c r="D21" s="63">
        <f>Tracado_Perdas!AB21*Tracado_Perdas!G21</f>
        <v/>
      </c>
      <c r="E21" s="63">
        <f>Hiperestatico!C21+Hiperestatico!G21</f>
        <v/>
      </c>
      <c r="F21" s="63">
        <f>Hiperestatico!E21+Hiperestatico!H21</f>
        <v/>
      </c>
      <c r="G21" s="67">
        <f>-C21/Dados!$C$8/1000+E21/Dados!$C$10/1000</f>
        <v/>
      </c>
      <c r="H21" s="67">
        <f>-C21/Dados!$C$8/1000-E21/Dados!$C$10/1000</f>
        <v/>
      </c>
      <c r="I21" s="67">
        <f>-D21/Dados!$C$8/1000+F21/Dados!$C$10/1000</f>
        <v/>
      </c>
      <c r="J21" s="67">
        <f>-D21/Dados!$C$8/1000-F21/Dados!$C$10/1000</f>
        <v/>
      </c>
      <c r="K21" s="67">
        <f>G21+Esforcos!D21/Dados!$C$10/1000</f>
        <v/>
      </c>
      <c r="L21" s="67">
        <f>H21-Esforcos!D21/Dados!$C$10/1000</f>
        <v/>
      </c>
      <c r="M21" s="67">
        <f>I21+Esforcos!H21/Dados!$C$10/1000</f>
        <v/>
      </c>
      <c r="N21" s="67">
        <f>J21-Esforcos!I21/Dados!$C$10/1000</f>
        <v/>
      </c>
      <c r="O21" s="67">
        <f>I21+Esforcos!J21/Dados!$C$10/1000</f>
        <v/>
      </c>
      <c r="P21" s="67">
        <f>J21-Esforcos!K21/Dados!$C$10/1000</f>
        <v/>
      </c>
      <c r="Q21" s="67">
        <f>J21-Esforcos!J21/Dados!$C$10/1000</f>
        <v/>
      </c>
      <c r="R21" s="67">
        <f>I21+Esforcos!K21/Dados!$C$10/1000</f>
        <v/>
      </c>
      <c r="S21" s="71">
        <f>IF(AND(K21&lt;=Dados!$C$26,L21&lt;=Dados!$C$26,K21&gt;=-Dados!$C$27,L21&gt;=-Dados!$C$27),"OK","ARMAR")</f>
        <v/>
      </c>
      <c r="T21" s="71">
        <f>IF(AND(M21&lt;=0,N21&lt;=0),"OK","NÃO")</f>
        <v/>
      </c>
      <c r="U21" s="71">
        <f>IF(AND(O21&lt;=Dados!$C$25,P21&lt;=Dados!$C$25),"OK","NÃO")</f>
        <v/>
      </c>
      <c r="V21" s="71">
        <f>IF(AND(Q21&gt;=-Dados!$C$28,R21&gt;=-Dados!$C$28,K21&gt;=-Dados!$C$27),"OK","NÃO")</f>
        <v/>
      </c>
      <c r="W21" s="67">
        <f>MAX(IF(K21&gt;Dados!$C$26,0.5*K21*1000*Dados!$C$6*(Dados!$C$7*K21/(K21-L21))/250000*10000,0),IF(L21&gt;Dados!$C$26,0.5*L21*1000*Dados!$C$6*(Dados!$C$7*L21/(L21-K21))/250000*10000,0))</f>
        <v/>
      </c>
    </row>
    <row r="22" ht="15" customHeight="1" s="47">
      <c r="A22" s="63">
        <f>Tracado_Perdas!B22</f>
        <v/>
      </c>
      <c r="B22" s="66">
        <f>Tracado_Perdas!D22</f>
        <v/>
      </c>
      <c r="C22" s="63">
        <f>Tracado_Perdas!S22*Tracado_Perdas!G22</f>
        <v/>
      </c>
      <c r="D22" s="63">
        <f>Tracado_Perdas!AB22*Tracado_Perdas!G22</f>
        <v/>
      </c>
      <c r="E22" s="63">
        <f>Hiperestatico!C22+Hiperestatico!G22</f>
        <v/>
      </c>
      <c r="F22" s="63">
        <f>Hiperestatico!E22+Hiperestatico!H22</f>
        <v/>
      </c>
      <c r="G22" s="67">
        <f>-C22/Dados!$C$8/1000+E22/Dados!$C$10/1000</f>
        <v/>
      </c>
      <c r="H22" s="67">
        <f>-C22/Dados!$C$8/1000-E22/Dados!$C$10/1000</f>
        <v/>
      </c>
      <c r="I22" s="67">
        <f>-D22/Dados!$C$8/1000+F22/Dados!$C$10/1000</f>
        <v/>
      </c>
      <c r="J22" s="67">
        <f>-D22/Dados!$C$8/1000-F22/Dados!$C$10/1000</f>
        <v/>
      </c>
      <c r="K22" s="67">
        <f>G22+Esforcos!D22/Dados!$C$10/1000</f>
        <v/>
      </c>
      <c r="L22" s="67">
        <f>H22-Esforcos!D22/Dados!$C$10/1000</f>
        <v/>
      </c>
      <c r="M22" s="67">
        <f>I22+Esforcos!H22/Dados!$C$10/1000</f>
        <v/>
      </c>
      <c r="N22" s="67">
        <f>J22-Esforcos!I22/Dados!$C$10/1000</f>
        <v/>
      </c>
      <c r="O22" s="67">
        <f>I22+Esforcos!J22/Dados!$C$10/1000</f>
        <v/>
      </c>
      <c r="P22" s="67">
        <f>J22-Esforcos!K22/Dados!$C$10/1000</f>
        <v/>
      </c>
      <c r="Q22" s="67">
        <f>J22-Esforcos!J22/Dados!$C$10/1000</f>
        <v/>
      </c>
      <c r="R22" s="67">
        <f>I22+Esforcos!K22/Dados!$C$10/1000</f>
        <v/>
      </c>
      <c r="S22" s="71">
        <f>IF(AND(K22&lt;=Dados!$C$26,L22&lt;=Dados!$C$26,K22&gt;=-Dados!$C$27,L22&gt;=-Dados!$C$27),"OK","ARMAR")</f>
        <v/>
      </c>
      <c r="T22" s="71">
        <f>IF(AND(M22&lt;=0,N22&lt;=0),"OK","NÃO")</f>
        <v/>
      </c>
      <c r="U22" s="71">
        <f>IF(AND(O22&lt;=Dados!$C$25,P22&lt;=Dados!$C$25),"OK","NÃO")</f>
        <v/>
      </c>
      <c r="V22" s="71">
        <f>IF(AND(Q22&gt;=-Dados!$C$28,R22&gt;=-Dados!$C$28,K22&gt;=-Dados!$C$27),"OK","NÃO")</f>
        <v/>
      </c>
      <c r="W22" s="67">
        <f>MAX(IF(K22&gt;Dados!$C$26,0.5*K22*1000*Dados!$C$6*(Dados!$C$7*K22/(K22-L22))/250000*10000,0),IF(L22&gt;Dados!$C$26,0.5*L22*1000*Dados!$C$6*(Dados!$C$7*L22/(L22-K22))/250000*10000,0))</f>
        <v/>
      </c>
    </row>
    <row r="23" ht="15" customHeight="1" s="47">
      <c r="A23" s="63">
        <f>Tracado_Perdas!B23</f>
        <v/>
      </c>
      <c r="B23" s="66">
        <f>Tracado_Perdas!D23</f>
        <v/>
      </c>
      <c r="C23" s="63">
        <f>Tracado_Perdas!S23*Tracado_Perdas!G23</f>
        <v/>
      </c>
      <c r="D23" s="63">
        <f>Tracado_Perdas!AB23*Tracado_Perdas!G23</f>
        <v/>
      </c>
      <c r="E23" s="63">
        <f>Hiperestatico!C23+Hiperestatico!G23</f>
        <v/>
      </c>
      <c r="F23" s="63">
        <f>Hiperestatico!E23+Hiperestatico!H23</f>
        <v/>
      </c>
      <c r="G23" s="67">
        <f>-C23/Dados!$C$8/1000+E23/Dados!$C$10/1000</f>
        <v/>
      </c>
      <c r="H23" s="67">
        <f>-C23/Dados!$C$8/1000-E23/Dados!$C$10/1000</f>
        <v/>
      </c>
      <c r="I23" s="67">
        <f>-D23/Dados!$C$8/1000+F23/Dados!$C$10/1000</f>
        <v/>
      </c>
      <c r="J23" s="67">
        <f>-D23/Dados!$C$8/1000-F23/Dados!$C$10/1000</f>
        <v/>
      </c>
      <c r="K23" s="67">
        <f>G23+Esforcos!D23/Dados!$C$10/1000</f>
        <v/>
      </c>
      <c r="L23" s="67">
        <f>H23-Esforcos!D23/Dados!$C$10/1000</f>
        <v/>
      </c>
      <c r="M23" s="67">
        <f>I23+Esforcos!H23/Dados!$C$10/1000</f>
        <v/>
      </c>
      <c r="N23" s="67">
        <f>J23-Esforcos!I23/Dados!$C$10/1000</f>
        <v/>
      </c>
      <c r="O23" s="67">
        <f>I23+Esforcos!J23/Dados!$C$10/1000</f>
        <v/>
      </c>
      <c r="P23" s="67">
        <f>J23-Esforcos!K23/Dados!$C$10/1000</f>
        <v/>
      </c>
      <c r="Q23" s="67">
        <f>J23-Esforcos!J23/Dados!$C$10/1000</f>
        <v/>
      </c>
      <c r="R23" s="67">
        <f>I23+Esforcos!K23/Dados!$C$10/1000</f>
        <v/>
      </c>
      <c r="S23" s="71">
        <f>IF(AND(K23&lt;=Dados!$C$26,L23&lt;=Dados!$C$26,K23&gt;=-Dados!$C$27,L23&gt;=-Dados!$C$27),"OK","ARMAR")</f>
        <v/>
      </c>
      <c r="T23" s="71">
        <f>IF(AND(M23&lt;=0,N23&lt;=0),"OK","NÃO")</f>
        <v/>
      </c>
      <c r="U23" s="71">
        <f>IF(AND(O23&lt;=Dados!$C$25,P23&lt;=Dados!$C$25),"OK","NÃO")</f>
        <v/>
      </c>
      <c r="V23" s="71">
        <f>IF(AND(Q23&gt;=-Dados!$C$28,R23&gt;=-Dados!$C$28,K23&gt;=-Dados!$C$27),"OK","NÃO")</f>
        <v/>
      </c>
      <c r="W23" s="67">
        <f>MAX(IF(K23&gt;Dados!$C$26,0.5*K23*1000*Dados!$C$6*(Dados!$C$7*K23/(K23-L23))/250000*10000,0),IF(L23&gt;Dados!$C$26,0.5*L23*1000*Dados!$C$6*(Dados!$C$7*L23/(L23-K23))/250000*10000,0))</f>
        <v/>
      </c>
    </row>
    <row r="24" ht="15" customHeight="1" s="47">
      <c r="A24" s="63">
        <f>Tracado_Perdas!B24</f>
        <v/>
      </c>
      <c r="B24" s="66">
        <f>Tracado_Perdas!D24</f>
        <v/>
      </c>
      <c r="C24" s="63">
        <f>Tracado_Perdas!S24*Tracado_Perdas!G24</f>
        <v/>
      </c>
      <c r="D24" s="63">
        <f>Tracado_Perdas!AB24*Tracado_Perdas!G24</f>
        <v/>
      </c>
      <c r="E24" s="63">
        <f>Hiperestatico!C24+Hiperestatico!G24</f>
        <v/>
      </c>
      <c r="F24" s="63">
        <f>Hiperestatico!E24+Hiperestatico!H24</f>
        <v/>
      </c>
      <c r="G24" s="67">
        <f>-C24/Dados!$C$8/1000+E24/Dados!$C$10/1000</f>
        <v/>
      </c>
      <c r="H24" s="67">
        <f>-C24/Dados!$C$8/1000-E24/Dados!$C$10/1000</f>
        <v/>
      </c>
      <c r="I24" s="67">
        <f>-D24/Dados!$C$8/1000+F24/Dados!$C$10/1000</f>
        <v/>
      </c>
      <c r="J24" s="67">
        <f>-D24/Dados!$C$8/1000-F24/Dados!$C$10/1000</f>
        <v/>
      </c>
      <c r="K24" s="67">
        <f>G24+Esforcos!D24/Dados!$C$10/1000</f>
        <v/>
      </c>
      <c r="L24" s="67">
        <f>H24-Esforcos!D24/Dados!$C$10/1000</f>
        <v/>
      </c>
      <c r="M24" s="67">
        <f>I24+Esforcos!H24/Dados!$C$10/1000</f>
        <v/>
      </c>
      <c r="N24" s="67">
        <f>J24-Esforcos!I24/Dados!$C$10/1000</f>
        <v/>
      </c>
      <c r="O24" s="67">
        <f>I24+Esforcos!J24/Dados!$C$10/1000</f>
        <v/>
      </c>
      <c r="P24" s="67">
        <f>J24-Esforcos!K24/Dados!$C$10/1000</f>
        <v/>
      </c>
      <c r="Q24" s="67">
        <f>J24-Esforcos!J24/Dados!$C$10/1000</f>
        <v/>
      </c>
      <c r="R24" s="67">
        <f>I24+Esforcos!K24/Dados!$C$10/1000</f>
        <v/>
      </c>
      <c r="S24" s="71">
        <f>IF(AND(K24&lt;=Dados!$C$26,L24&lt;=Dados!$C$26,K24&gt;=-Dados!$C$27,L24&gt;=-Dados!$C$27),"OK","ARMAR")</f>
        <v/>
      </c>
      <c r="T24" s="71">
        <f>IF(AND(M24&lt;=0,N24&lt;=0),"OK","NÃO")</f>
        <v/>
      </c>
      <c r="U24" s="71">
        <f>IF(AND(O24&lt;=Dados!$C$25,P24&lt;=Dados!$C$25),"OK","NÃO")</f>
        <v/>
      </c>
      <c r="V24" s="71">
        <f>IF(AND(Q24&gt;=-Dados!$C$28,R24&gt;=-Dados!$C$28,K24&gt;=-Dados!$C$27),"OK","NÃO")</f>
        <v/>
      </c>
      <c r="W24" s="67">
        <f>MAX(IF(K24&gt;Dados!$C$26,0.5*K24*1000*Dados!$C$6*(Dados!$C$7*K24/(K24-L24))/250000*10000,0),IF(L24&gt;Dados!$C$26,0.5*L24*1000*Dados!$C$6*(Dados!$C$7*L24/(L24-K24))/250000*10000,0))</f>
        <v/>
      </c>
    </row>
    <row r="25" ht="15" customHeight="1" s="47">
      <c r="A25" s="63">
        <f>Tracado_Perdas!B25</f>
        <v/>
      </c>
      <c r="B25" s="66">
        <f>Tracado_Perdas!D25</f>
        <v/>
      </c>
      <c r="C25" s="63">
        <f>Tracado_Perdas!S25*Tracado_Perdas!G25</f>
        <v/>
      </c>
      <c r="D25" s="63">
        <f>Tracado_Perdas!AB25*Tracado_Perdas!G25</f>
        <v/>
      </c>
      <c r="E25" s="63">
        <f>Hiperestatico!C25+Hiperestatico!G25</f>
        <v/>
      </c>
      <c r="F25" s="63">
        <f>Hiperestatico!E25+Hiperestatico!H25</f>
        <v/>
      </c>
      <c r="G25" s="67">
        <f>-C25/Dados!$C$8/1000+E25/Dados!$C$10/1000</f>
        <v/>
      </c>
      <c r="H25" s="67">
        <f>-C25/Dados!$C$8/1000-E25/Dados!$C$10/1000</f>
        <v/>
      </c>
      <c r="I25" s="67">
        <f>-D25/Dados!$C$8/1000+F25/Dados!$C$10/1000</f>
        <v/>
      </c>
      <c r="J25" s="67">
        <f>-D25/Dados!$C$8/1000-F25/Dados!$C$10/1000</f>
        <v/>
      </c>
      <c r="K25" s="67">
        <f>G25+Esforcos!D25/Dados!$C$10/1000</f>
        <v/>
      </c>
      <c r="L25" s="67">
        <f>H25-Esforcos!D25/Dados!$C$10/1000</f>
        <v/>
      </c>
      <c r="M25" s="67">
        <f>I25+Esforcos!H25/Dados!$C$10/1000</f>
        <v/>
      </c>
      <c r="N25" s="67">
        <f>J25-Esforcos!I25/Dados!$C$10/1000</f>
        <v/>
      </c>
      <c r="O25" s="67">
        <f>I25+Esforcos!J25/Dados!$C$10/1000</f>
        <v/>
      </c>
      <c r="P25" s="67">
        <f>J25-Esforcos!K25/Dados!$C$10/1000</f>
        <v/>
      </c>
      <c r="Q25" s="67">
        <f>J25-Esforcos!J25/Dados!$C$10/1000</f>
        <v/>
      </c>
      <c r="R25" s="67">
        <f>I25+Esforcos!K25/Dados!$C$10/1000</f>
        <v/>
      </c>
      <c r="S25" s="71">
        <f>IF(AND(K25&lt;=Dados!$C$26,L25&lt;=Dados!$C$26,K25&gt;=-Dados!$C$27,L25&gt;=-Dados!$C$27),"OK","ARMAR")</f>
        <v/>
      </c>
      <c r="T25" s="71">
        <f>IF(AND(M25&lt;=0,N25&lt;=0),"OK","NÃO")</f>
        <v/>
      </c>
      <c r="U25" s="71">
        <f>IF(AND(O25&lt;=Dados!$C$25,P25&lt;=Dados!$C$25),"OK","NÃO")</f>
        <v/>
      </c>
      <c r="V25" s="71">
        <f>IF(AND(Q25&gt;=-Dados!$C$28,R25&gt;=-Dados!$C$28,K25&gt;=-Dados!$C$27),"OK","NÃO")</f>
        <v/>
      </c>
      <c r="W25" s="67">
        <f>MAX(IF(K25&gt;Dados!$C$26,0.5*K25*1000*Dados!$C$6*(Dados!$C$7*K25/(K25-L25))/250000*10000,0),IF(L25&gt;Dados!$C$26,0.5*L25*1000*Dados!$C$6*(Dados!$C$7*L25/(L25-K25))/250000*10000,0))</f>
        <v/>
      </c>
    </row>
    <row r="26" ht="15" customHeight="1" s="47">
      <c r="A26" s="63">
        <f>Tracado_Perdas!B26</f>
        <v/>
      </c>
      <c r="B26" s="66">
        <f>Tracado_Perdas!D26</f>
        <v/>
      </c>
      <c r="C26" s="63">
        <f>Tracado_Perdas!S26*Tracado_Perdas!G26</f>
        <v/>
      </c>
      <c r="D26" s="63">
        <f>Tracado_Perdas!AB26*Tracado_Perdas!G26</f>
        <v/>
      </c>
      <c r="E26" s="63">
        <f>Hiperestatico!C26+Hiperestatico!G26</f>
        <v/>
      </c>
      <c r="F26" s="63">
        <f>Hiperestatico!E26+Hiperestatico!H26</f>
        <v/>
      </c>
      <c r="G26" s="67">
        <f>-C26/Dados!$C$8/1000+E26/Dados!$C$10/1000</f>
        <v/>
      </c>
      <c r="H26" s="67">
        <f>-C26/Dados!$C$8/1000-E26/Dados!$C$10/1000</f>
        <v/>
      </c>
      <c r="I26" s="67">
        <f>-D26/Dados!$C$8/1000+F26/Dados!$C$10/1000</f>
        <v/>
      </c>
      <c r="J26" s="67">
        <f>-D26/Dados!$C$8/1000-F26/Dados!$C$10/1000</f>
        <v/>
      </c>
      <c r="K26" s="67">
        <f>G26+Esforcos!D26/Dados!$C$10/1000</f>
        <v/>
      </c>
      <c r="L26" s="67">
        <f>H26-Esforcos!D26/Dados!$C$10/1000</f>
        <v/>
      </c>
      <c r="M26" s="67">
        <f>I26+Esforcos!H26/Dados!$C$10/1000</f>
        <v/>
      </c>
      <c r="N26" s="67">
        <f>J26-Esforcos!I26/Dados!$C$10/1000</f>
        <v/>
      </c>
      <c r="O26" s="67">
        <f>I26+Esforcos!J26/Dados!$C$10/1000</f>
        <v/>
      </c>
      <c r="P26" s="67">
        <f>J26-Esforcos!K26/Dados!$C$10/1000</f>
        <v/>
      </c>
      <c r="Q26" s="67">
        <f>J26-Esforcos!J26/Dados!$C$10/1000</f>
        <v/>
      </c>
      <c r="R26" s="67">
        <f>I26+Esforcos!K26/Dados!$C$10/1000</f>
        <v/>
      </c>
      <c r="S26" s="71">
        <f>IF(AND(K26&lt;=Dados!$C$26,L26&lt;=Dados!$C$26,K26&gt;=-Dados!$C$27,L26&gt;=-Dados!$C$27),"OK","ARMAR")</f>
        <v/>
      </c>
      <c r="T26" s="71">
        <f>IF(AND(M26&lt;=0,N26&lt;=0),"OK","NÃO")</f>
        <v/>
      </c>
      <c r="U26" s="71">
        <f>IF(AND(O26&lt;=Dados!$C$25,P26&lt;=Dados!$C$25),"OK","NÃO")</f>
        <v/>
      </c>
      <c r="V26" s="71">
        <f>IF(AND(Q26&gt;=-Dados!$C$28,R26&gt;=-Dados!$C$28,K26&gt;=-Dados!$C$27),"OK","NÃO")</f>
        <v/>
      </c>
      <c r="W26" s="67">
        <f>MAX(IF(K26&gt;Dados!$C$26,0.5*K26*1000*Dados!$C$6*(Dados!$C$7*K26/(K26-L26))/250000*10000,0),IF(L26&gt;Dados!$C$26,0.5*L26*1000*Dados!$C$6*(Dados!$C$7*L26/(L26-K26))/250000*10000,0))</f>
        <v/>
      </c>
    </row>
    <row r="27" ht="15" customHeight="1" s="47">
      <c r="A27" s="63">
        <f>Tracado_Perdas!B27</f>
        <v/>
      </c>
      <c r="B27" s="66">
        <f>Tracado_Perdas!D27</f>
        <v/>
      </c>
      <c r="C27" s="63">
        <f>Tracado_Perdas!S27*Tracado_Perdas!G27</f>
        <v/>
      </c>
      <c r="D27" s="63">
        <f>Tracado_Perdas!AB27*Tracado_Perdas!G27</f>
        <v/>
      </c>
      <c r="E27" s="63">
        <f>Hiperestatico!C27+Hiperestatico!G27</f>
        <v/>
      </c>
      <c r="F27" s="63">
        <f>Hiperestatico!E27+Hiperestatico!H27</f>
        <v/>
      </c>
      <c r="G27" s="67">
        <f>-C27/Dados!$C$8/1000+E27/Dados!$C$10/1000</f>
        <v/>
      </c>
      <c r="H27" s="67">
        <f>-C27/Dados!$C$8/1000-E27/Dados!$C$10/1000</f>
        <v/>
      </c>
      <c r="I27" s="67">
        <f>-D27/Dados!$C$8/1000+F27/Dados!$C$10/1000</f>
        <v/>
      </c>
      <c r="J27" s="67">
        <f>-D27/Dados!$C$8/1000-F27/Dados!$C$10/1000</f>
        <v/>
      </c>
      <c r="K27" s="67">
        <f>G27+Esforcos!D27/Dados!$C$10/1000</f>
        <v/>
      </c>
      <c r="L27" s="67">
        <f>H27-Esforcos!D27/Dados!$C$10/1000</f>
        <v/>
      </c>
      <c r="M27" s="67">
        <f>I27+Esforcos!H27/Dados!$C$10/1000</f>
        <v/>
      </c>
      <c r="N27" s="67">
        <f>J27-Esforcos!I27/Dados!$C$10/1000</f>
        <v/>
      </c>
      <c r="O27" s="67">
        <f>I27+Esforcos!J27/Dados!$C$10/1000</f>
        <v/>
      </c>
      <c r="P27" s="67">
        <f>J27-Esforcos!K27/Dados!$C$10/1000</f>
        <v/>
      </c>
      <c r="Q27" s="67">
        <f>J27-Esforcos!J27/Dados!$C$10/1000</f>
        <v/>
      </c>
      <c r="R27" s="67">
        <f>I27+Esforcos!K27/Dados!$C$10/1000</f>
        <v/>
      </c>
      <c r="S27" s="71">
        <f>IF(AND(K27&lt;=Dados!$C$26,L27&lt;=Dados!$C$26,K27&gt;=-Dados!$C$27,L27&gt;=-Dados!$C$27),"OK","ARMAR")</f>
        <v/>
      </c>
      <c r="T27" s="71">
        <f>IF(AND(M27&lt;=0,N27&lt;=0),"OK","NÃO")</f>
        <v/>
      </c>
      <c r="U27" s="71">
        <f>IF(AND(O27&lt;=Dados!$C$25,P27&lt;=Dados!$C$25),"OK","NÃO")</f>
        <v/>
      </c>
      <c r="V27" s="71">
        <f>IF(AND(Q27&gt;=-Dados!$C$28,R27&gt;=-Dados!$C$28,K27&gt;=-Dados!$C$27),"OK","NÃO")</f>
        <v/>
      </c>
      <c r="W27" s="67">
        <f>MAX(IF(K27&gt;Dados!$C$26,0.5*K27*1000*Dados!$C$6*(Dados!$C$7*K27/(K27-L27))/250000*10000,0),IF(L27&gt;Dados!$C$26,0.5*L27*1000*Dados!$C$6*(Dados!$C$7*L27/(L27-K27))/250000*10000,0))</f>
        <v/>
      </c>
    </row>
    <row r="28" ht="15" customHeight="1" s="47">
      <c r="A28" s="63">
        <f>Tracado_Perdas!B28</f>
        <v/>
      </c>
      <c r="B28" s="66">
        <f>Tracado_Perdas!D28</f>
        <v/>
      </c>
      <c r="C28" s="63">
        <f>Tracado_Perdas!S28*Tracado_Perdas!G28</f>
        <v/>
      </c>
      <c r="D28" s="63">
        <f>Tracado_Perdas!AB28*Tracado_Perdas!G28</f>
        <v/>
      </c>
      <c r="E28" s="63">
        <f>Hiperestatico!C28+Hiperestatico!G28</f>
        <v/>
      </c>
      <c r="F28" s="63">
        <f>Hiperestatico!E28+Hiperestatico!H28</f>
        <v/>
      </c>
      <c r="G28" s="67">
        <f>-C28/Dados!$C$8/1000+E28/Dados!$C$10/1000</f>
        <v/>
      </c>
      <c r="H28" s="67">
        <f>-C28/Dados!$C$8/1000-E28/Dados!$C$10/1000</f>
        <v/>
      </c>
      <c r="I28" s="67">
        <f>-D28/Dados!$C$8/1000+F28/Dados!$C$10/1000</f>
        <v/>
      </c>
      <c r="J28" s="67">
        <f>-D28/Dados!$C$8/1000-F28/Dados!$C$10/1000</f>
        <v/>
      </c>
      <c r="K28" s="67">
        <f>G28+Esforcos!D28/Dados!$C$10/1000</f>
        <v/>
      </c>
      <c r="L28" s="67">
        <f>H28-Esforcos!D28/Dados!$C$10/1000</f>
        <v/>
      </c>
      <c r="M28" s="67">
        <f>I28+Esforcos!H28/Dados!$C$10/1000</f>
        <v/>
      </c>
      <c r="N28" s="67">
        <f>J28-Esforcos!I28/Dados!$C$10/1000</f>
        <v/>
      </c>
      <c r="O28" s="67">
        <f>I28+Esforcos!J28/Dados!$C$10/1000</f>
        <v/>
      </c>
      <c r="P28" s="67">
        <f>J28-Esforcos!K28/Dados!$C$10/1000</f>
        <v/>
      </c>
      <c r="Q28" s="67">
        <f>J28-Esforcos!J28/Dados!$C$10/1000</f>
        <v/>
      </c>
      <c r="R28" s="67">
        <f>I28+Esforcos!K28/Dados!$C$10/1000</f>
        <v/>
      </c>
      <c r="S28" s="71">
        <f>IF(AND(K28&lt;=Dados!$C$26,L28&lt;=Dados!$C$26,K28&gt;=-Dados!$C$27,L28&gt;=-Dados!$C$27),"OK","ARMAR")</f>
        <v/>
      </c>
      <c r="T28" s="71">
        <f>IF(AND(M28&lt;=0,N28&lt;=0),"OK","NÃO")</f>
        <v/>
      </c>
      <c r="U28" s="71">
        <f>IF(AND(O28&lt;=Dados!$C$25,P28&lt;=Dados!$C$25),"OK","NÃO")</f>
        <v/>
      </c>
      <c r="V28" s="71">
        <f>IF(AND(Q28&gt;=-Dados!$C$28,R28&gt;=-Dados!$C$28,K28&gt;=-Dados!$C$27),"OK","NÃO")</f>
        <v/>
      </c>
      <c r="W28" s="67">
        <f>MAX(IF(K28&gt;Dados!$C$26,0.5*K28*1000*Dados!$C$6*(Dados!$C$7*K28/(K28-L28))/250000*10000,0),IF(L28&gt;Dados!$C$26,0.5*L28*1000*Dados!$C$6*(Dados!$C$7*L28/(L28-K28))/250000*10000,0))</f>
        <v/>
      </c>
    </row>
    <row r="29" ht="15" customHeight="1" s="47">
      <c r="A29" s="63">
        <f>Tracado_Perdas!B29</f>
        <v/>
      </c>
      <c r="B29" s="66">
        <f>Tracado_Perdas!D29</f>
        <v/>
      </c>
      <c r="C29" s="63">
        <f>Tracado_Perdas!S29*Tracado_Perdas!G29</f>
        <v/>
      </c>
      <c r="D29" s="63">
        <f>Tracado_Perdas!AB29*Tracado_Perdas!G29</f>
        <v/>
      </c>
      <c r="E29" s="63">
        <f>Hiperestatico!C29+Hiperestatico!G29</f>
        <v/>
      </c>
      <c r="F29" s="63">
        <f>Hiperestatico!E29+Hiperestatico!H29</f>
        <v/>
      </c>
      <c r="G29" s="67">
        <f>-C29/Dados!$C$8/1000+E29/Dados!$C$10/1000</f>
        <v/>
      </c>
      <c r="H29" s="67">
        <f>-C29/Dados!$C$8/1000-E29/Dados!$C$10/1000</f>
        <v/>
      </c>
      <c r="I29" s="67">
        <f>-D29/Dados!$C$8/1000+F29/Dados!$C$10/1000</f>
        <v/>
      </c>
      <c r="J29" s="67">
        <f>-D29/Dados!$C$8/1000-F29/Dados!$C$10/1000</f>
        <v/>
      </c>
      <c r="K29" s="67">
        <f>G29+Esforcos!D29/Dados!$C$10/1000</f>
        <v/>
      </c>
      <c r="L29" s="67">
        <f>H29-Esforcos!D29/Dados!$C$10/1000</f>
        <v/>
      </c>
      <c r="M29" s="67">
        <f>I29+Esforcos!H29/Dados!$C$10/1000</f>
        <v/>
      </c>
      <c r="N29" s="67">
        <f>J29-Esforcos!I29/Dados!$C$10/1000</f>
        <v/>
      </c>
      <c r="O29" s="67">
        <f>I29+Esforcos!J29/Dados!$C$10/1000</f>
        <v/>
      </c>
      <c r="P29" s="67">
        <f>J29-Esforcos!K29/Dados!$C$10/1000</f>
        <v/>
      </c>
      <c r="Q29" s="67">
        <f>J29-Esforcos!J29/Dados!$C$10/1000</f>
        <v/>
      </c>
      <c r="R29" s="67">
        <f>I29+Esforcos!K29/Dados!$C$10/1000</f>
        <v/>
      </c>
      <c r="S29" s="71">
        <f>IF(AND(K29&lt;=Dados!$C$26,L29&lt;=Dados!$C$26,K29&gt;=-Dados!$C$27,L29&gt;=-Dados!$C$27),"OK","ARMAR")</f>
        <v/>
      </c>
      <c r="T29" s="71">
        <f>IF(AND(M29&lt;=0,N29&lt;=0),"OK","NÃO")</f>
        <v/>
      </c>
      <c r="U29" s="71">
        <f>IF(AND(O29&lt;=Dados!$C$25,P29&lt;=Dados!$C$25),"OK","NÃO")</f>
        <v/>
      </c>
      <c r="V29" s="71">
        <f>IF(AND(Q29&gt;=-Dados!$C$28,R29&gt;=-Dados!$C$28,K29&gt;=-Dados!$C$27),"OK","NÃO")</f>
        <v/>
      </c>
      <c r="W29" s="67">
        <f>MAX(IF(K29&gt;Dados!$C$26,0.5*K29*1000*Dados!$C$6*(Dados!$C$7*K29/(K29-L29))/250000*10000,0),IF(L29&gt;Dados!$C$26,0.5*L29*1000*Dados!$C$6*(Dados!$C$7*L29/(L29-K29))/250000*10000,0))</f>
        <v/>
      </c>
    </row>
    <row r="30" ht="15" customHeight="1" s="47">
      <c r="A30" s="63">
        <f>Tracado_Perdas!B30</f>
        <v/>
      </c>
      <c r="B30" s="66">
        <f>Tracado_Perdas!D30</f>
        <v/>
      </c>
      <c r="C30" s="63">
        <f>Tracado_Perdas!S30*Tracado_Perdas!G30</f>
        <v/>
      </c>
      <c r="D30" s="63">
        <f>Tracado_Perdas!AB30*Tracado_Perdas!G30</f>
        <v/>
      </c>
      <c r="E30" s="63">
        <f>Hiperestatico!C30+Hiperestatico!G30</f>
        <v/>
      </c>
      <c r="F30" s="63">
        <f>Hiperestatico!E30+Hiperestatico!H30</f>
        <v/>
      </c>
      <c r="G30" s="67">
        <f>-C30/Dados!$C$8/1000+E30/Dados!$C$10/1000</f>
        <v/>
      </c>
      <c r="H30" s="67">
        <f>-C30/Dados!$C$8/1000-E30/Dados!$C$10/1000</f>
        <v/>
      </c>
      <c r="I30" s="67">
        <f>-D30/Dados!$C$8/1000+F30/Dados!$C$10/1000</f>
        <v/>
      </c>
      <c r="J30" s="67">
        <f>-D30/Dados!$C$8/1000-F30/Dados!$C$10/1000</f>
        <v/>
      </c>
      <c r="K30" s="67">
        <f>G30+Esforcos!D30/Dados!$C$10/1000</f>
        <v/>
      </c>
      <c r="L30" s="67">
        <f>H30-Esforcos!D30/Dados!$C$10/1000</f>
        <v/>
      </c>
      <c r="M30" s="67">
        <f>I30+Esforcos!H30/Dados!$C$10/1000</f>
        <v/>
      </c>
      <c r="N30" s="67">
        <f>J30-Esforcos!I30/Dados!$C$10/1000</f>
        <v/>
      </c>
      <c r="O30" s="67">
        <f>I30+Esforcos!J30/Dados!$C$10/1000</f>
        <v/>
      </c>
      <c r="P30" s="67">
        <f>J30-Esforcos!K30/Dados!$C$10/1000</f>
        <v/>
      </c>
      <c r="Q30" s="67">
        <f>J30-Esforcos!J30/Dados!$C$10/1000</f>
        <v/>
      </c>
      <c r="R30" s="67">
        <f>I30+Esforcos!K30/Dados!$C$10/1000</f>
        <v/>
      </c>
      <c r="S30" s="71">
        <f>IF(AND(K30&lt;=Dados!$C$26,L30&lt;=Dados!$C$26,K30&gt;=-Dados!$C$27,L30&gt;=-Dados!$C$27),"OK","ARMAR")</f>
        <v/>
      </c>
      <c r="T30" s="71">
        <f>IF(AND(M30&lt;=0,N30&lt;=0),"OK","NÃO")</f>
        <v/>
      </c>
      <c r="U30" s="71">
        <f>IF(AND(O30&lt;=Dados!$C$25,P30&lt;=Dados!$C$25),"OK","NÃO")</f>
        <v/>
      </c>
      <c r="V30" s="71">
        <f>IF(AND(Q30&gt;=-Dados!$C$28,R30&gt;=-Dados!$C$28,K30&gt;=-Dados!$C$27),"OK","NÃO")</f>
        <v/>
      </c>
      <c r="W30" s="67">
        <f>MAX(IF(K30&gt;Dados!$C$26,0.5*K30*1000*Dados!$C$6*(Dados!$C$7*K30/(K30-L30))/250000*10000,0),IF(L30&gt;Dados!$C$26,0.5*L30*1000*Dados!$C$6*(Dados!$C$7*L30/(L30-K30))/250000*10000,0))</f>
        <v/>
      </c>
    </row>
    <row r="31" ht="15" customHeight="1" s="47">
      <c r="A31" s="63">
        <f>Tracado_Perdas!B31</f>
        <v/>
      </c>
      <c r="B31" s="66">
        <f>Tracado_Perdas!D31</f>
        <v/>
      </c>
      <c r="C31" s="63">
        <f>Tracado_Perdas!S31*Tracado_Perdas!G31</f>
        <v/>
      </c>
      <c r="D31" s="63">
        <f>Tracado_Perdas!AB31*Tracado_Perdas!G31</f>
        <v/>
      </c>
      <c r="E31" s="63">
        <f>Hiperestatico!C31+Hiperestatico!G31</f>
        <v/>
      </c>
      <c r="F31" s="63">
        <f>Hiperestatico!E31+Hiperestatico!H31</f>
        <v/>
      </c>
      <c r="G31" s="67">
        <f>-C31/Dados!$C$8/1000+E31/Dados!$C$10/1000</f>
        <v/>
      </c>
      <c r="H31" s="67">
        <f>-C31/Dados!$C$8/1000-E31/Dados!$C$10/1000</f>
        <v/>
      </c>
      <c r="I31" s="67">
        <f>-D31/Dados!$C$8/1000+F31/Dados!$C$10/1000</f>
        <v/>
      </c>
      <c r="J31" s="67">
        <f>-D31/Dados!$C$8/1000-F31/Dados!$C$10/1000</f>
        <v/>
      </c>
      <c r="K31" s="67">
        <f>G31+Esforcos!D31/Dados!$C$10/1000</f>
        <v/>
      </c>
      <c r="L31" s="67">
        <f>H31-Esforcos!D31/Dados!$C$10/1000</f>
        <v/>
      </c>
      <c r="M31" s="67">
        <f>I31+Esforcos!H31/Dados!$C$10/1000</f>
        <v/>
      </c>
      <c r="N31" s="67">
        <f>J31-Esforcos!I31/Dados!$C$10/1000</f>
        <v/>
      </c>
      <c r="O31" s="67">
        <f>I31+Esforcos!J31/Dados!$C$10/1000</f>
        <v/>
      </c>
      <c r="P31" s="67">
        <f>J31-Esforcos!K31/Dados!$C$10/1000</f>
        <v/>
      </c>
      <c r="Q31" s="67">
        <f>J31-Esforcos!J31/Dados!$C$10/1000</f>
        <v/>
      </c>
      <c r="R31" s="67">
        <f>I31+Esforcos!K31/Dados!$C$10/1000</f>
        <v/>
      </c>
      <c r="S31" s="71">
        <f>IF(AND(K31&lt;=Dados!$C$26,L31&lt;=Dados!$C$26,K31&gt;=-Dados!$C$27,L31&gt;=-Dados!$C$27),"OK","ARMAR")</f>
        <v/>
      </c>
      <c r="T31" s="71">
        <f>IF(AND(M31&lt;=0,N31&lt;=0),"OK","NÃO")</f>
        <v/>
      </c>
      <c r="U31" s="71">
        <f>IF(AND(O31&lt;=Dados!$C$25,P31&lt;=Dados!$C$25),"OK","NÃO")</f>
        <v/>
      </c>
      <c r="V31" s="71">
        <f>IF(AND(Q31&gt;=-Dados!$C$28,R31&gt;=-Dados!$C$28,K31&gt;=-Dados!$C$27),"OK","NÃO")</f>
        <v/>
      </c>
      <c r="W31" s="67">
        <f>MAX(IF(K31&gt;Dados!$C$26,0.5*K31*1000*Dados!$C$6*(Dados!$C$7*K31/(K31-L31))/250000*10000,0),IF(L31&gt;Dados!$C$26,0.5*L31*1000*Dados!$C$6*(Dados!$C$7*L31/(L31-K31))/250000*10000,0))</f>
        <v/>
      </c>
    </row>
    <row r="32" ht="15" customHeight="1" s="47">
      <c r="A32" s="63">
        <f>Tracado_Perdas!B32</f>
        <v/>
      </c>
      <c r="B32" s="66">
        <f>Tracado_Perdas!D32</f>
        <v/>
      </c>
      <c r="C32" s="63">
        <f>Tracado_Perdas!S32*Tracado_Perdas!G32</f>
        <v/>
      </c>
      <c r="D32" s="63">
        <f>Tracado_Perdas!AB32*Tracado_Perdas!G32</f>
        <v/>
      </c>
      <c r="E32" s="63">
        <f>Hiperestatico!C32+Hiperestatico!G32</f>
        <v/>
      </c>
      <c r="F32" s="63">
        <f>Hiperestatico!E32+Hiperestatico!H32</f>
        <v/>
      </c>
      <c r="G32" s="67">
        <f>-C32/Dados!$C$8/1000+E32/Dados!$C$10/1000</f>
        <v/>
      </c>
      <c r="H32" s="67">
        <f>-C32/Dados!$C$8/1000-E32/Dados!$C$10/1000</f>
        <v/>
      </c>
      <c r="I32" s="67">
        <f>-D32/Dados!$C$8/1000+F32/Dados!$C$10/1000</f>
        <v/>
      </c>
      <c r="J32" s="67">
        <f>-D32/Dados!$C$8/1000-F32/Dados!$C$10/1000</f>
        <v/>
      </c>
      <c r="K32" s="67">
        <f>G32+Esforcos!D32/Dados!$C$10/1000</f>
        <v/>
      </c>
      <c r="L32" s="67">
        <f>H32-Esforcos!D32/Dados!$C$10/1000</f>
        <v/>
      </c>
      <c r="M32" s="67">
        <f>I32+Esforcos!H32/Dados!$C$10/1000</f>
        <v/>
      </c>
      <c r="N32" s="67">
        <f>J32-Esforcos!I32/Dados!$C$10/1000</f>
        <v/>
      </c>
      <c r="O32" s="67">
        <f>I32+Esforcos!J32/Dados!$C$10/1000</f>
        <v/>
      </c>
      <c r="P32" s="67">
        <f>J32-Esforcos!K32/Dados!$C$10/1000</f>
        <v/>
      </c>
      <c r="Q32" s="67">
        <f>J32-Esforcos!J32/Dados!$C$10/1000</f>
        <v/>
      </c>
      <c r="R32" s="67">
        <f>I32+Esforcos!K32/Dados!$C$10/1000</f>
        <v/>
      </c>
      <c r="S32" s="71">
        <f>IF(AND(K32&lt;=Dados!$C$26,L32&lt;=Dados!$C$26,K32&gt;=-Dados!$C$27,L32&gt;=-Dados!$C$27),"OK","ARMAR")</f>
        <v/>
      </c>
      <c r="T32" s="71">
        <f>IF(AND(M32&lt;=0,N32&lt;=0),"OK","NÃO")</f>
        <v/>
      </c>
      <c r="U32" s="71">
        <f>IF(AND(O32&lt;=Dados!$C$25,P32&lt;=Dados!$C$25),"OK","NÃO")</f>
        <v/>
      </c>
      <c r="V32" s="71">
        <f>IF(AND(Q32&gt;=-Dados!$C$28,R32&gt;=-Dados!$C$28,K32&gt;=-Dados!$C$27),"OK","NÃO")</f>
        <v/>
      </c>
      <c r="W32" s="67">
        <f>MAX(IF(K32&gt;Dados!$C$26,0.5*K32*1000*Dados!$C$6*(Dados!$C$7*K32/(K32-L32))/250000*10000,0),IF(L32&gt;Dados!$C$26,0.5*L32*1000*Dados!$C$6*(Dados!$C$7*L32/(L32-K32))/250000*10000,0))</f>
        <v/>
      </c>
    </row>
    <row r="33" ht="15" customHeight="1" s="47">
      <c r="A33" s="63">
        <f>Tracado_Perdas!B33</f>
        <v/>
      </c>
      <c r="B33" s="66">
        <f>Tracado_Perdas!D33</f>
        <v/>
      </c>
      <c r="C33" s="63">
        <f>Tracado_Perdas!S33*Tracado_Perdas!G33</f>
        <v/>
      </c>
      <c r="D33" s="63">
        <f>Tracado_Perdas!AB33*Tracado_Perdas!G33</f>
        <v/>
      </c>
      <c r="E33" s="63">
        <f>Hiperestatico!C33+Hiperestatico!G33</f>
        <v/>
      </c>
      <c r="F33" s="63">
        <f>Hiperestatico!E33+Hiperestatico!H33</f>
        <v/>
      </c>
      <c r="G33" s="67">
        <f>-C33/Dados!$C$8/1000+E33/Dados!$C$10/1000</f>
        <v/>
      </c>
      <c r="H33" s="67">
        <f>-C33/Dados!$C$8/1000-E33/Dados!$C$10/1000</f>
        <v/>
      </c>
      <c r="I33" s="67">
        <f>-D33/Dados!$C$8/1000+F33/Dados!$C$10/1000</f>
        <v/>
      </c>
      <c r="J33" s="67">
        <f>-D33/Dados!$C$8/1000-F33/Dados!$C$10/1000</f>
        <v/>
      </c>
      <c r="K33" s="67">
        <f>G33+Esforcos!D33/Dados!$C$10/1000</f>
        <v/>
      </c>
      <c r="L33" s="67">
        <f>H33-Esforcos!D33/Dados!$C$10/1000</f>
        <v/>
      </c>
      <c r="M33" s="67">
        <f>I33+Esforcos!H33/Dados!$C$10/1000</f>
        <v/>
      </c>
      <c r="N33" s="67">
        <f>J33-Esforcos!I33/Dados!$C$10/1000</f>
        <v/>
      </c>
      <c r="O33" s="67">
        <f>I33+Esforcos!J33/Dados!$C$10/1000</f>
        <v/>
      </c>
      <c r="P33" s="67">
        <f>J33-Esforcos!K33/Dados!$C$10/1000</f>
        <v/>
      </c>
      <c r="Q33" s="67">
        <f>J33-Esforcos!J33/Dados!$C$10/1000</f>
        <v/>
      </c>
      <c r="R33" s="67">
        <f>I33+Esforcos!K33/Dados!$C$10/1000</f>
        <v/>
      </c>
      <c r="S33" s="71">
        <f>IF(AND(K33&lt;=Dados!$C$26,L33&lt;=Dados!$C$26,K33&gt;=-Dados!$C$27,L33&gt;=-Dados!$C$27),"OK","ARMAR")</f>
        <v/>
      </c>
      <c r="T33" s="71">
        <f>IF(AND(M33&lt;=0,N33&lt;=0),"OK","NÃO")</f>
        <v/>
      </c>
      <c r="U33" s="71">
        <f>IF(AND(O33&lt;=Dados!$C$25,P33&lt;=Dados!$C$25),"OK","NÃO")</f>
        <v/>
      </c>
      <c r="V33" s="71">
        <f>IF(AND(Q33&gt;=-Dados!$C$28,R33&gt;=-Dados!$C$28,K33&gt;=-Dados!$C$27),"OK","NÃO")</f>
        <v/>
      </c>
      <c r="W33" s="67">
        <f>MAX(IF(K33&gt;Dados!$C$26,0.5*K33*1000*Dados!$C$6*(Dados!$C$7*K33/(K33-L33))/250000*10000,0),IF(L33&gt;Dados!$C$26,0.5*L33*1000*Dados!$C$6*(Dados!$C$7*L33/(L33-K33))/250000*10000,0))</f>
        <v/>
      </c>
    </row>
    <row r="34" ht="15" customHeight="1" s="47">
      <c r="A34" s="63">
        <f>Tracado_Perdas!B34</f>
        <v/>
      </c>
      <c r="B34" s="66">
        <f>Tracado_Perdas!D34</f>
        <v/>
      </c>
      <c r="C34" s="63">
        <f>Tracado_Perdas!S34*Tracado_Perdas!G34</f>
        <v/>
      </c>
      <c r="D34" s="63">
        <f>Tracado_Perdas!AB34*Tracado_Perdas!G34</f>
        <v/>
      </c>
      <c r="E34" s="63">
        <f>Hiperestatico!C34+Hiperestatico!G34</f>
        <v/>
      </c>
      <c r="F34" s="63">
        <f>Hiperestatico!E34+Hiperestatico!H34</f>
        <v/>
      </c>
      <c r="G34" s="67">
        <f>-C34/Dados!$C$8/1000+E34/Dados!$C$10/1000</f>
        <v/>
      </c>
      <c r="H34" s="67">
        <f>-C34/Dados!$C$8/1000-E34/Dados!$C$10/1000</f>
        <v/>
      </c>
      <c r="I34" s="67">
        <f>-D34/Dados!$C$8/1000+F34/Dados!$C$10/1000</f>
        <v/>
      </c>
      <c r="J34" s="67">
        <f>-D34/Dados!$C$8/1000-F34/Dados!$C$10/1000</f>
        <v/>
      </c>
      <c r="K34" s="67">
        <f>G34+Esforcos!D34/Dados!$C$10/1000</f>
        <v/>
      </c>
      <c r="L34" s="67">
        <f>H34-Esforcos!D34/Dados!$C$10/1000</f>
        <v/>
      </c>
      <c r="M34" s="67">
        <f>I34+Esforcos!H34/Dados!$C$10/1000</f>
        <v/>
      </c>
      <c r="N34" s="67">
        <f>J34-Esforcos!I34/Dados!$C$10/1000</f>
        <v/>
      </c>
      <c r="O34" s="67">
        <f>I34+Esforcos!J34/Dados!$C$10/1000</f>
        <v/>
      </c>
      <c r="P34" s="67">
        <f>J34-Esforcos!K34/Dados!$C$10/1000</f>
        <v/>
      </c>
      <c r="Q34" s="67">
        <f>J34-Esforcos!J34/Dados!$C$10/1000</f>
        <v/>
      </c>
      <c r="R34" s="67">
        <f>I34+Esforcos!K34/Dados!$C$10/1000</f>
        <v/>
      </c>
      <c r="S34" s="71">
        <f>IF(AND(K34&lt;=Dados!$C$26,L34&lt;=Dados!$C$26,K34&gt;=-Dados!$C$27,L34&gt;=-Dados!$C$27),"OK","ARMAR")</f>
        <v/>
      </c>
      <c r="T34" s="71">
        <f>IF(AND(M34&lt;=0,N34&lt;=0),"OK","NÃO")</f>
        <v/>
      </c>
      <c r="U34" s="71">
        <f>IF(AND(O34&lt;=Dados!$C$25,P34&lt;=Dados!$C$25),"OK","NÃO")</f>
        <v/>
      </c>
      <c r="V34" s="71">
        <f>IF(AND(Q34&gt;=-Dados!$C$28,R34&gt;=-Dados!$C$28,K34&gt;=-Dados!$C$27),"OK","NÃO")</f>
        <v/>
      </c>
      <c r="W34" s="67">
        <f>MAX(IF(K34&gt;Dados!$C$26,0.5*K34*1000*Dados!$C$6*(Dados!$C$7*K34/(K34-L34))/250000*10000,0),IF(L34&gt;Dados!$C$26,0.5*L34*1000*Dados!$C$6*(Dados!$C$7*L34/(L34-K34))/250000*10000,0))</f>
        <v/>
      </c>
    </row>
    <row r="35" ht="15" customHeight="1" s="47">
      <c r="A35" s="63">
        <f>Tracado_Perdas!B35</f>
        <v/>
      </c>
      <c r="B35" s="66">
        <f>Tracado_Perdas!D35</f>
        <v/>
      </c>
      <c r="C35" s="63">
        <f>Tracado_Perdas!S35*Tracado_Perdas!G35</f>
        <v/>
      </c>
      <c r="D35" s="63">
        <f>Tracado_Perdas!AB35*Tracado_Perdas!G35</f>
        <v/>
      </c>
      <c r="E35" s="63">
        <f>Hiperestatico!C35+Hiperestatico!G35</f>
        <v/>
      </c>
      <c r="F35" s="63">
        <f>Hiperestatico!E35+Hiperestatico!H35</f>
        <v/>
      </c>
      <c r="G35" s="67">
        <f>-C35/Dados!$C$8/1000+E35/Dados!$C$10/1000</f>
        <v/>
      </c>
      <c r="H35" s="67">
        <f>-C35/Dados!$C$8/1000-E35/Dados!$C$10/1000</f>
        <v/>
      </c>
      <c r="I35" s="67">
        <f>-D35/Dados!$C$8/1000+F35/Dados!$C$10/1000</f>
        <v/>
      </c>
      <c r="J35" s="67">
        <f>-D35/Dados!$C$8/1000-F35/Dados!$C$10/1000</f>
        <v/>
      </c>
      <c r="K35" s="67">
        <f>G35+Esforcos!D35/Dados!$C$10/1000</f>
        <v/>
      </c>
      <c r="L35" s="67">
        <f>H35-Esforcos!D35/Dados!$C$10/1000</f>
        <v/>
      </c>
      <c r="M35" s="67">
        <f>I35+Esforcos!H35/Dados!$C$10/1000</f>
        <v/>
      </c>
      <c r="N35" s="67">
        <f>J35-Esforcos!I35/Dados!$C$10/1000</f>
        <v/>
      </c>
      <c r="O35" s="67">
        <f>I35+Esforcos!J35/Dados!$C$10/1000</f>
        <v/>
      </c>
      <c r="P35" s="67">
        <f>J35-Esforcos!K35/Dados!$C$10/1000</f>
        <v/>
      </c>
      <c r="Q35" s="67">
        <f>J35-Esforcos!J35/Dados!$C$10/1000</f>
        <v/>
      </c>
      <c r="R35" s="67">
        <f>I35+Esforcos!K35/Dados!$C$10/1000</f>
        <v/>
      </c>
      <c r="S35" s="71">
        <f>IF(AND(K35&lt;=Dados!$C$26,L35&lt;=Dados!$C$26,K35&gt;=-Dados!$C$27,L35&gt;=-Dados!$C$27),"OK","ARMAR")</f>
        <v/>
      </c>
      <c r="T35" s="71">
        <f>IF(AND(M35&lt;=0,N35&lt;=0),"OK","NÃO")</f>
        <v/>
      </c>
      <c r="U35" s="71">
        <f>IF(AND(O35&lt;=Dados!$C$25,P35&lt;=Dados!$C$25),"OK","NÃO")</f>
        <v/>
      </c>
      <c r="V35" s="71">
        <f>IF(AND(Q35&gt;=-Dados!$C$28,R35&gt;=-Dados!$C$28,K35&gt;=-Dados!$C$27),"OK","NÃO")</f>
        <v/>
      </c>
      <c r="W35" s="67">
        <f>MAX(IF(K35&gt;Dados!$C$26,0.5*K35*1000*Dados!$C$6*(Dados!$C$7*K35/(K35-L35))/250000*10000,0),IF(L35&gt;Dados!$C$26,0.5*L35*1000*Dados!$C$6*(Dados!$C$7*L35/(L35-K35))/250000*10000,0))</f>
        <v/>
      </c>
    </row>
    <row r="36" ht="15" customHeight="1" s="47">
      <c r="A36" s="63">
        <f>Tracado_Perdas!B36</f>
        <v/>
      </c>
      <c r="B36" s="66">
        <f>Tracado_Perdas!D36</f>
        <v/>
      </c>
      <c r="C36" s="63">
        <f>Tracado_Perdas!S36*Tracado_Perdas!G36</f>
        <v/>
      </c>
      <c r="D36" s="63">
        <f>Tracado_Perdas!AB36*Tracado_Perdas!G36</f>
        <v/>
      </c>
      <c r="E36" s="63">
        <f>Hiperestatico!C36+Hiperestatico!G36</f>
        <v/>
      </c>
      <c r="F36" s="63">
        <f>Hiperestatico!E36+Hiperestatico!H36</f>
        <v/>
      </c>
      <c r="G36" s="67">
        <f>-C36/Dados!$C$8/1000+E36/Dados!$C$10/1000</f>
        <v/>
      </c>
      <c r="H36" s="67">
        <f>-C36/Dados!$C$8/1000-E36/Dados!$C$10/1000</f>
        <v/>
      </c>
      <c r="I36" s="67">
        <f>-D36/Dados!$C$8/1000+F36/Dados!$C$10/1000</f>
        <v/>
      </c>
      <c r="J36" s="67">
        <f>-D36/Dados!$C$8/1000-F36/Dados!$C$10/1000</f>
        <v/>
      </c>
      <c r="K36" s="67">
        <f>G36+Esforcos!D36/Dados!$C$10/1000</f>
        <v/>
      </c>
      <c r="L36" s="67">
        <f>H36-Esforcos!D36/Dados!$C$10/1000</f>
        <v/>
      </c>
      <c r="M36" s="67">
        <f>I36+Esforcos!H36/Dados!$C$10/1000</f>
        <v/>
      </c>
      <c r="N36" s="67">
        <f>J36-Esforcos!I36/Dados!$C$10/1000</f>
        <v/>
      </c>
      <c r="O36" s="67">
        <f>I36+Esforcos!J36/Dados!$C$10/1000</f>
        <v/>
      </c>
      <c r="P36" s="67">
        <f>J36-Esforcos!K36/Dados!$C$10/1000</f>
        <v/>
      </c>
      <c r="Q36" s="67">
        <f>J36-Esforcos!J36/Dados!$C$10/1000</f>
        <v/>
      </c>
      <c r="R36" s="67">
        <f>I36+Esforcos!K36/Dados!$C$10/1000</f>
        <v/>
      </c>
      <c r="S36" s="71">
        <f>IF(AND(K36&lt;=Dados!$C$26,L36&lt;=Dados!$C$26,K36&gt;=-Dados!$C$27,L36&gt;=-Dados!$C$27),"OK","ARMAR")</f>
        <v/>
      </c>
      <c r="T36" s="71">
        <f>IF(AND(M36&lt;=0,N36&lt;=0),"OK","NÃO")</f>
        <v/>
      </c>
      <c r="U36" s="71">
        <f>IF(AND(O36&lt;=Dados!$C$25,P36&lt;=Dados!$C$25),"OK","NÃO")</f>
        <v/>
      </c>
      <c r="V36" s="71">
        <f>IF(AND(Q36&gt;=-Dados!$C$28,R36&gt;=-Dados!$C$28,K36&gt;=-Dados!$C$27),"OK","NÃO")</f>
        <v/>
      </c>
      <c r="W36" s="67">
        <f>MAX(IF(K36&gt;Dados!$C$26,0.5*K36*1000*Dados!$C$6*(Dados!$C$7*K36/(K36-L36))/250000*10000,0),IF(L36&gt;Dados!$C$26,0.5*L36*1000*Dados!$C$6*(Dados!$C$7*L36/(L36-K36))/250000*10000,0))</f>
        <v/>
      </c>
    </row>
    <row r="37" ht="15" customHeight="1" s="47">
      <c r="A37" s="63">
        <f>Tracado_Perdas!B37</f>
        <v/>
      </c>
      <c r="B37" s="66">
        <f>Tracado_Perdas!D37</f>
        <v/>
      </c>
      <c r="C37" s="63">
        <f>Tracado_Perdas!S37*Tracado_Perdas!G37</f>
        <v/>
      </c>
      <c r="D37" s="63">
        <f>Tracado_Perdas!AB37*Tracado_Perdas!G37</f>
        <v/>
      </c>
      <c r="E37" s="63">
        <f>Hiperestatico!C37+Hiperestatico!G37</f>
        <v/>
      </c>
      <c r="F37" s="63">
        <f>Hiperestatico!E37+Hiperestatico!H37</f>
        <v/>
      </c>
      <c r="G37" s="67">
        <f>-C37/Dados!$C$8/1000+E37/Dados!$C$10/1000</f>
        <v/>
      </c>
      <c r="H37" s="67">
        <f>-C37/Dados!$C$8/1000-E37/Dados!$C$10/1000</f>
        <v/>
      </c>
      <c r="I37" s="67">
        <f>-D37/Dados!$C$8/1000+F37/Dados!$C$10/1000</f>
        <v/>
      </c>
      <c r="J37" s="67">
        <f>-D37/Dados!$C$8/1000-F37/Dados!$C$10/1000</f>
        <v/>
      </c>
      <c r="K37" s="67">
        <f>G37+Esforcos!D37/Dados!$C$10/1000</f>
        <v/>
      </c>
      <c r="L37" s="67">
        <f>H37-Esforcos!D37/Dados!$C$10/1000</f>
        <v/>
      </c>
      <c r="M37" s="67">
        <f>I37+Esforcos!H37/Dados!$C$10/1000</f>
        <v/>
      </c>
      <c r="N37" s="67">
        <f>J37-Esforcos!I37/Dados!$C$10/1000</f>
        <v/>
      </c>
      <c r="O37" s="67">
        <f>I37+Esforcos!J37/Dados!$C$10/1000</f>
        <v/>
      </c>
      <c r="P37" s="67">
        <f>J37-Esforcos!K37/Dados!$C$10/1000</f>
        <v/>
      </c>
      <c r="Q37" s="67">
        <f>J37-Esforcos!J37/Dados!$C$10/1000</f>
        <v/>
      </c>
      <c r="R37" s="67">
        <f>I37+Esforcos!K37/Dados!$C$10/1000</f>
        <v/>
      </c>
      <c r="S37" s="71">
        <f>IF(AND(K37&lt;=Dados!$C$26,L37&lt;=Dados!$C$26,K37&gt;=-Dados!$C$27,L37&gt;=-Dados!$C$27),"OK","ARMAR")</f>
        <v/>
      </c>
      <c r="T37" s="71">
        <f>IF(AND(M37&lt;=0,N37&lt;=0),"OK","NÃO")</f>
        <v/>
      </c>
      <c r="U37" s="71">
        <f>IF(AND(O37&lt;=Dados!$C$25,P37&lt;=Dados!$C$25),"OK","NÃO")</f>
        <v/>
      </c>
      <c r="V37" s="71">
        <f>IF(AND(Q37&gt;=-Dados!$C$28,R37&gt;=-Dados!$C$28,K37&gt;=-Dados!$C$27),"OK","NÃO")</f>
        <v/>
      </c>
      <c r="W37" s="67">
        <f>MAX(IF(K37&gt;Dados!$C$26,0.5*K37*1000*Dados!$C$6*(Dados!$C$7*K37/(K37-L37))/250000*10000,0),IF(L37&gt;Dados!$C$26,0.5*L37*1000*Dados!$C$6*(Dados!$C$7*L37/(L37-K37))/250000*10000,0))</f>
        <v/>
      </c>
    </row>
    <row r="38" ht="15" customHeight="1" s="47">
      <c r="A38" s="63">
        <f>Tracado_Perdas!B38</f>
        <v/>
      </c>
      <c r="B38" s="66">
        <f>Tracado_Perdas!D38</f>
        <v/>
      </c>
      <c r="C38" s="63">
        <f>Tracado_Perdas!S38*Tracado_Perdas!G38</f>
        <v/>
      </c>
      <c r="D38" s="63">
        <f>Tracado_Perdas!AB38*Tracado_Perdas!G38</f>
        <v/>
      </c>
      <c r="E38" s="63">
        <f>Hiperestatico!C38+Hiperestatico!G38</f>
        <v/>
      </c>
      <c r="F38" s="63">
        <f>Hiperestatico!E38+Hiperestatico!H38</f>
        <v/>
      </c>
      <c r="G38" s="67">
        <f>-C38/Dados!$C$8/1000+E38/Dados!$C$10/1000</f>
        <v/>
      </c>
      <c r="H38" s="67">
        <f>-C38/Dados!$C$8/1000-E38/Dados!$C$10/1000</f>
        <v/>
      </c>
      <c r="I38" s="67">
        <f>-D38/Dados!$C$8/1000+F38/Dados!$C$10/1000</f>
        <v/>
      </c>
      <c r="J38" s="67">
        <f>-D38/Dados!$C$8/1000-F38/Dados!$C$10/1000</f>
        <v/>
      </c>
      <c r="K38" s="67">
        <f>G38+Esforcos!D38/Dados!$C$10/1000</f>
        <v/>
      </c>
      <c r="L38" s="67">
        <f>H38-Esforcos!D38/Dados!$C$10/1000</f>
        <v/>
      </c>
      <c r="M38" s="67">
        <f>I38+Esforcos!H38/Dados!$C$10/1000</f>
        <v/>
      </c>
      <c r="N38" s="67">
        <f>J38-Esforcos!I38/Dados!$C$10/1000</f>
        <v/>
      </c>
      <c r="O38" s="67">
        <f>I38+Esforcos!J38/Dados!$C$10/1000</f>
        <v/>
      </c>
      <c r="P38" s="67">
        <f>J38-Esforcos!K38/Dados!$C$10/1000</f>
        <v/>
      </c>
      <c r="Q38" s="67">
        <f>J38-Esforcos!J38/Dados!$C$10/1000</f>
        <v/>
      </c>
      <c r="R38" s="67">
        <f>I38+Esforcos!K38/Dados!$C$10/1000</f>
        <v/>
      </c>
      <c r="S38" s="71">
        <f>IF(AND(K38&lt;=Dados!$C$26,L38&lt;=Dados!$C$26,K38&gt;=-Dados!$C$27,L38&gt;=-Dados!$C$27),"OK","ARMAR")</f>
        <v/>
      </c>
      <c r="T38" s="71">
        <f>IF(AND(M38&lt;=0,N38&lt;=0),"OK","NÃO")</f>
        <v/>
      </c>
      <c r="U38" s="71">
        <f>IF(AND(O38&lt;=Dados!$C$25,P38&lt;=Dados!$C$25),"OK","NÃO")</f>
        <v/>
      </c>
      <c r="V38" s="71">
        <f>IF(AND(Q38&gt;=-Dados!$C$28,R38&gt;=-Dados!$C$28,K38&gt;=-Dados!$C$27),"OK","NÃO")</f>
        <v/>
      </c>
      <c r="W38" s="67">
        <f>MAX(IF(K38&gt;Dados!$C$26,0.5*K38*1000*Dados!$C$6*(Dados!$C$7*K38/(K38-L38))/250000*10000,0),IF(L38&gt;Dados!$C$26,0.5*L38*1000*Dados!$C$6*(Dados!$C$7*L38/(L38-K38))/250000*10000,0))</f>
        <v/>
      </c>
    </row>
    <row r="39" ht="15" customHeight="1" s="47">
      <c r="A39" s="63">
        <f>Tracado_Perdas!B39</f>
        <v/>
      </c>
      <c r="B39" s="66">
        <f>Tracado_Perdas!D39</f>
        <v/>
      </c>
      <c r="C39" s="63">
        <f>Tracado_Perdas!S39*Tracado_Perdas!G39</f>
        <v/>
      </c>
      <c r="D39" s="63">
        <f>Tracado_Perdas!AB39*Tracado_Perdas!G39</f>
        <v/>
      </c>
      <c r="E39" s="63">
        <f>Hiperestatico!C39+Hiperestatico!G39</f>
        <v/>
      </c>
      <c r="F39" s="63">
        <f>Hiperestatico!E39+Hiperestatico!H39</f>
        <v/>
      </c>
      <c r="G39" s="67">
        <f>-C39/Dados!$C$8/1000+E39/Dados!$C$10/1000</f>
        <v/>
      </c>
      <c r="H39" s="67">
        <f>-C39/Dados!$C$8/1000-E39/Dados!$C$10/1000</f>
        <v/>
      </c>
      <c r="I39" s="67">
        <f>-D39/Dados!$C$8/1000+F39/Dados!$C$10/1000</f>
        <v/>
      </c>
      <c r="J39" s="67">
        <f>-D39/Dados!$C$8/1000-F39/Dados!$C$10/1000</f>
        <v/>
      </c>
      <c r="K39" s="67">
        <f>G39+Esforcos!D39/Dados!$C$10/1000</f>
        <v/>
      </c>
      <c r="L39" s="67">
        <f>H39-Esforcos!D39/Dados!$C$10/1000</f>
        <v/>
      </c>
      <c r="M39" s="67">
        <f>I39+Esforcos!H39/Dados!$C$10/1000</f>
        <v/>
      </c>
      <c r="N39" s="67">
        <f>J39-Esforcos!I39/Dados!$C$10/1000</f>
        <v/>
      </c>
      <c r="O39" s="67">
        <f>I39+Esforcos!J39/Dados!$C$10/1000</f>
        <v/>
      </c>
      <c r="P39" s="67">
        <f>J39-Esforcos!K39/Dados!$C$10/1000</f>
        <v/>
      </c>
      <c r="Q39" s="67">
        <f>J39-Esforcos!J39/Dados!$C$10/1000</f>
        <v/>
      </c>
      <c r="R39" s="67">
        <f>I39+Esforcos!K39/Dados!$C$10/1000</f>
        <v/>
      </c>
      <c r="S39" s="71">
        <f>IF(AND(K39&lt;=Dados!$C$26,L39&lt;=Dados!$C$26,K39&gt;=-Dados!$C$27,L39&gt;=-Dados!$C$27),"OK","ARMAR")</f>
        <v/>
      </c>
      <c r="T39" s="71">
        <f>IF(AND(M39&lt;=0,N39&lt;=0),"OK","NÃO")</f>
        <v/>
      </c>
      <c r="U39" s="71">
        <f>IF(AND(O39&lt;=Dados!$C$25,P39&lt;=Dados!$C$25),"OK","NÃO")</f>
        <v/>
      </c>
      <c r="V39" s="71">
        <f>IF(AND(Q39&gt;=-Dados!$C$28,R39&gt;=-Dados!$C$28,K39&gt;=-Dados!$C$27),"OK","NÃO")</f>
        <v/>
      </c>
      <c r="W39" s="67">
        <f>MAX(IF(K39&gt;Dados!$C$26,0.5*K39*1000*Dados!$C$6*(Dados!$C$7*K39/(K39-L39))/250000*10000,0),IF(L39&gt;Dados!$C$26,0.5*L39*1000*Dados!$C$6*(Dados!$C$7*L39/(L39-K39))/250000*10000,0))</f>
        <v/>
      </c>
    </row>
    <row r="40" ht="15" customHeight="1" s="47">
      <c r="A40" s="63">
        <f>Tracado_Perdas!B40</f>
        <v/>
      </c>
      <c r="B40" s="66">
        <f>Tracado_Perdas!D40</f>
        <v/>
      </c>
      <c r="C40" s="63">
        <f>Tracado_Perdas!S40*Tracado_Perdas!G40</f>
        <v/>
      </c>
      <c r="D40" s="63">
        <f>Tracado_Perdas!AB40*Tracado_Perdas!G40</f>
        <v/>
      </c>
      <c r="E40" s="63">
        <f>Hiperestatico!C40+Hiperestatico!G40</f>
        <v/>
      </c>
      <c r="F40" s="63">
        <f>Hiperestatico!E40+Hiperestatico!H40</f>
        <v/>
      </c>
      <c r="G40" s="67">
        <f>-C40/Dados!$C$8/1000+E40/Dados!$C$10/1000</f>
        <v/>
      </c>
      <c r="H40" s="67">
        <f>-C40/Dados!$C$8/1000-E40/Dados!$C$10/1000</f>
        <v/>
      </c>
      <c r="I40" s="67">
        <f>-D40/Dados!$C$8/1000+F40/Dados!$C$10/1000</f>
        <v/>
      </c>
      <c r="J40" s="67">
        <f>-D40/Dados!$C$8/1000-F40/Dados!$C$10/1000</f>
        <v/>
      </c>
      <c r="K40" s="67">
        <f>G40+Esforcos!D40/Dados!$C$10/1000</f>
        <v/>
      </c>
      <c r="L40" s="67">
        <f>H40-Esforcos!D40/Dados!$C$10/1000</f>
        <v/>
      </c>
      <c r="M40" s="67">
        <f>I40+Esforcos!H40/Dados!$C$10/1000</f>
        <v/>
      </c>
      <c r="N40" s="67">
        <f>J40-Esforcos!I40/Dados!$C$10/1000</f>
        <v/>
      </c>
      <c r="O40" s="67">
        <f>I40+Esforcos!J40/Dados!$C$10/1000</f>
        <v/>
      </c>
      <c r="P40" s="67">
        <f>J40-Esforcos!K40/Dados!$C$10/1000</f>
        <v/>
      </c>
      <c r="Q40" s="67">
        <f>J40-Esforcos!J40/Dados!$C$10/1000</f>
        <v/>
      </c>
      <c r="R40" s="67">
        <f>I40+Esforcos!K40/Dados!$C$10/1000</f>
        <v/>
      </c>
      <c r="S40" s="71">
        <f>IF(AND(K40&lt;=Dados!$C$26,L40&lt;=Dados!$C$26,K40&gt;=-Dados!$C$27,L40&gt;=-Dados!$C$27),"OK","ARMAR")</f>
        <v/>
      </c>
      <c r="T40" s="71">
        <f>IF(AND(M40&lt;=0,N40&lt;=0),"OK","NÃO")</f>
        <v/>
      </c>
      <c r="U40" s="71">
        <f>IF(AND(O40&lt;=Dados!$C$25,P40&lt;=Dados!$C$25),"OK","NÃO")</f>
        <v/>
      </c>
      <c r="V40" s="71">
        <f>IF(AND(Q40&gt;=-Dados!$C$28,R40&gt;=-Dados!$C$28,K40&gt;=-Dados!$C$27),"OK","NÃO")</f>
        <v/>
      </c>
      <c r="W40" s="67">
        <f>MAX(IF(K40&gt;Dados!$C$26,0.5*K40*1000*Dados!$C$6*(Dados!$C$7*K40/(K40-L40))/250000*10000,0),IF(L40&gt;Dados!$C$26,0.5*L40*1000*Dados!$C$6*(Dados!$C$7*L40/(L40-K40))/250000*10000,0))</f>
        <v/>
      </c>
    </row>
    <row r="41" ht="15" customHeight="1" s="47">
      <c r="A41" s="63">
        <f>Tracado_Perdas!B41</f>
        <v/>
      </c>
      <c r="B41" s="66">
        <f>Tracado_Perdas!D41</f>
        <v/>
      </c>
      <c r="C41" s="63">
        <f>Tracado_Perdas!S41*Tracado_Perdas!G41</f>
        <v/>
      </c>
      <c r="D41" s="63">
        <f>Tracado_Perdas!AB41*Tracado_Perdas!G41</f>
        <v/>
      </c>
      <c r="E41" s="63">
        <f>Hiperestatico!C41+Hiperestatico!G41</f>
        <v/>
      </c>
      <c r="F41" s="63">
        <f>Hiperestatico!E41+Hiperestatico!H41</f>
        <v/>
      </c>
      <c r="G41" s="67">
        <f>-C41/Dados!$C$8/1000+E41/Dados!$C$10/1000</f>
        <v/>
      </c>
      <c r="H41" s="67">
        <f>-C41/Dados!$C$8/1000-E41/Dados!$C$10/1000</f>
        <v/>
      </c>
      <c r="I41" s="67">
        <f>-D41/Dados!$C$8/1000+F41/Dados!$C$10/1000</f>
        <v/>
      </c>
      <c r="J41" s="67">
        <f>-D41/Dados!$C$8/1000-F41/Dados!$C$10/1000</f>
        <v/>
      </c>
      <c r="K41" s="67">
        <f>G41+Esforcos!D41/Dados!$C$10/1000</f>
        <v/>
      </c>
      <c r="L41" s="67">
        <f>H41-Esforcos!D41/Dados!$C$10/1000</f>
        <v/>
      </c>
      <c r="M41" s="67">
        <f>I41+Esforcos!H41/Dados!$C$10/1000</f>
        <v/>
      </c>
      <c r="N41" s="67">
        <f>J41-Esforcos!I41/Dados!$C$10/1000</f>
        <v/>
      </c>
      <c r="O41" s="67">
        <f>I41+Esforcos!J41/Dados!$C$10/1000</f>
        <v/>
      </c>
      <c r="P41" s="67">
        <f>J41-Esforcos!K41/Dados!$C$10/1000</f>
        <v/>
      </c>
      <c r="Q41" s="67">
        <f>J41-Esforcos!J41/Dados!$C$10/1000</f>
        <v/>
      </c>
      <c r="R41" s="67">
        <f>I41+Esforcos!K41/Dados!$C$10/1000</f>
        <v/>
      </c>
      <c r="S41" s="71">
        <f>IF(AND(K41&lt;=Dados!$C$26,L41&lt;=Dados!$C$26,K41&gt;=-Dados!$C$27,L41&gt;=-Dados!$C$27),"OK","ARMAR")</f>
        <v/>
      </c>
      <c r="T41" s="71">
        <f>IF(AND(M41&lt;=0,N41&lt;=0),"OK","NÃO")</f>
        <v/>
      </c>
      <c r="U41" s="71">
        <f>IF(AND(O41&lt;=Dados!$C$25,P41&lt;=Dados!$C$25),"OK","NÃO")</f>
        <v/>
      </c>
      <c r="V41" s="71">
        <f>IF(AND(Q41&gt;=-Dados!$C$28,R41&gt;=-Dados!$C$28,K41&gt;=-Dados!$C$27),"OK","NÃO")</f>
        <v/>
      </c>
      <c r="W41" s="67">
        <f>MAX(IF(K41&gt;Dados!$C$26,0.5*K41*1000*Dados!$C$6*(Dados!$C$7*K41/(K41-L41))/250000*10000,0),IF(L41&gt;Dados!$C$26,0.5*L41*1000*Dados!$C$6*(Dados!$C$7*L41/(L41-K41))/250000*10000,0))</f>
        <v/>
      </c>
    </row>
    <row r="42" ht="15" customHeight="1" s="47">
      <c r="A42" s="63">
        <f>Tracado_Perdas!B42</f>
        <v/>
      </c>
      <c r="B42" s="66">
        <f>Tracado_Perdas!D42</f>
        <v/>
      </c>
      <c r="C42" s="63">
        <f>Tracado_Perdas!S42*Tracado_Perdas!G42</f>
        <v/>
      </c>
      <c r="D42" s="63">
        <f>Tracado_Perdas!AB42*Tracado_Perdas!G42</f>
        <v/>
      </c>
      <c r="E42" s="63">
        <f>Hiperestatico!C42+Hiperestatico!G42</f>
        <v/>
      </c>
      <c r="F42" s="63">
        <f>Hiperestatico!E42+Hiperestatico!H42</f>
        <v/>
      </c>
      <c r="G42" s="67">
        <f>-C42/Dados!$C$8/1000+E42/Dados!$C$10/1000</f>
        <v/>
      </c>
      <c r="H42" s="67">
        <f>-C42/Dados!$C$8/1000-E42/Dados!$C$10/1000</f>
        <v/>
      </c>
      <c r="I42" s="67">
        <f>-D42/Dados!$C$8/1000+F42/Dados!$C$10/1000</f>
        <v/>
      </c>
      <c r="J42" s="67">
        <f>-D42/Dados!$C$8/1000-F42/Dados!$C$10/1000</f>
        <v/>
      </c>
      <c r="K42" s="67">
        <f>G42+Esforcos!D42/Dados!$C$10/1000</f>
        <v/>
      </c>
      <c r="L42" s="67">
        <f>H42-Esforcos!D42/Dados!$C$10/1000</f>
        <v/>
      </c>
      <c r="M42" s="67">
        <f>I42+Esforcos!H42/Dados!$C$10/1000</f>
        <v/>
      </c>
      <c r="N42" s="67">
        <f>J42-Esforcos!I42/Dados!$C$10/1000</f>
        <v/>
      </c>
      <c r="O42" s="67">
        <f>I42+Esforcos!J42/Dados!$C$10/1000</f>
        <v/>
      </c>
      <c r="P42" s="67">
        <f>J42-Esforcos!K42/Dados!$C$10/1000</f>
        <v/>
      </c>
      <c r="Q42" s="67">
        <f>J42-Esforcos!J42/Dados!$C$10/1000</f>
        <v/>
      </c>
      <c r="R42" s="67">
        <f>I42+Esforcos!K42/Dados!$C$10/1000</f>
        <v/>
      </c>
      <c r="S42" s="71">
        <f>IF(AND(K42&lt;=Dados!$C$26,L42&lt;=Dados!$C$26,K42&gt;=-Dados!$C$27,L42&gt;=-Dados!$C$27),"OK","ARMAR")</f>
        <v/>
      </c>
      <c r="T42" s="71">
        <f>IF(AND(M42&lt;=0,N42&lt;=0),"OK","NÃO")</f>
        <v/>
      </c>
      <c r="U42" s="71">
        <f>IF(AND(O42&lt;=Dados!$C$25,P42&lt;=Dados!$C$25),"OK","NÃO")</f>
        <v/>
      </c>
      <c r="V42" s="71">
        <f>IF(AND(Q42&gt;=-Dados!$C$28,R42&gt;=-Dados!$C$28,K42&gt;=-Dados!$C$27),"OK","NÃO")</f>
        <v/>
      </c>
      <c r="W42" s="67">
        <f>MAX(IF(K42&gt;Dados!$C$26,0.5*K42*1000*Dados!$C$6*(Dados!$C$7*K42/(K42-L42))/250000*10000,0),IF(L42&gt;Dados!$C$26,0.5*L42*1000*Dados!$C$6*(Dados!$C$7*L42/(L42-K42))/250000*10000,0))</f>
        <v/>
      </c>
    </row>
    <row r="43" ht="15" customHeight="1" s="47">
      <c r="A43" s="63">
        <f>Tracado_Perdas!B43</f>
        <v/>
      </c>
      <c r="B43" s="66">
        <f>Tracado_Perdas!D43</f>
        <v/>
      </c>
      <c r="C43" s="63">
        <f>Tracado_Perdas!S43*Tracado_Perdas!G43</f>
        <v/>
      </c>
      <c r="D43" s="63">
        <f>Tracado_Perdas!AB43*Tracado_Perdas!G43</f>
        <v/>
      </c>
      <c r="E43" s="63">
        <f>Hiperestatico!C43+Hiperestatico!G43</f>
        <v/>
      </c>
      <c r="F43" s="63">
        <f>Hiperestatico!E43+Hiperestatico!H43</f>
        <v/>
      </c>
      <c r="G43" s="67">
        <f>-C43/Dados!$C$8/1000+E43/Dados!$C$10/1000</f>
        <v/>
      </c>
      <c r="H43" s="67">
        <f>-C43/Dados!$C$8/1000-E43/Dados!$C$10/1000</f>
        <v/>
      </c>
      <c r="I43" s="67">
        <f>-D43/Dados!$C$8/1000+F43/Dados!$C$10/1000</f>
        <v/>
      </c>
      <c r="J43" s="67">
        <f>-D43/Dados!$C$8/1000-F43/Dados!$C$10/1000</f>
        <v/>
      </c>
      <c r="K43" s="67">
        <f>G43+Esforcos!D43/Dados!$C$10/1000</f>
        <v/>
      </c>
      <c r="L43" s="67">
        <f>H43-Esforcos!D43/Dados!$C$10/1000</f>
        <v/>
      </c>
      <c r="M43" s="67">
        <f>I43+Esforcos!H43/Dados!$C$10/1000</f>
        <v/>
      </c>
      <c r="N43" s="67">
        <f>J43-Esforcos!I43/Dados!$C$10/1000</f>
        <v/>
      </c>
      <c r="O43" s="67">
        <f>I43+Esforcos!J43/Dados!$C$10/1000</f>
        <v/>
      </c>
      <c r="P43" s="67">
        <f>J43-Esforcos!K43/Dados!$C$10/1000</f>
        <v/>
      </c>
      <c r="Q43" s="67">
        <f>J43-Esforcos!J43/Dados!$C$10/1000</f>
        <v/>
      </c>
      <c r="R43" s="67">
        <f>I43+Esforcos!K43/Dados!$C$10/1000</f>
        <v/>
      </c>
      <c r="S43" s="71">
        <f>IF(AND(K43&lt;=Dados!$C$26,L43&lt;=Dados!$C$26,K43&gt;=-Dados!$C$27,L43&gt;=-Dados!$C$27),"OK","ARMAR")</f>
        <v/>
      </c>
      <c r="T43" s="71">
        <f>IF(AND(M43&lt;=0,N43&lt;=0),"OK","NÃO")</f>
        <v/>
      </c>
      <c r="U43" s="71">
        <f>IF(AND(O43&lt;=Dados!$C$25,P43&lt;=Dados!$C$25),"OK","NÃO")</f>
        <v/>
      </c>
      <c r="V43" s="71">
        <f>IF(AND(Q43&gt;=-Dados!$C$28,R43&gt;=-Dados!$C$28,K43&gt;=-Dados!$C$27),"OK","NÃO")</f>
        <v/>
      </c>
      <c r="W43" s="67">
        <f>MAX(IF(K43&gt;Dados!$C$26,0.5*K43*1000*Dados!$C$6*(Dados!$C$7*K43/(K43-L43))/250000*10000,0),IF(L43&gt;Dados!$C$26,0.5*L43*1000*Dados!$C$6*(Dados!$C$7*L43/(L43-K43))/250000*10000,0))</f>
        <v/>
      </c>
    </row>
    <row r="44" ht="15" customHeight="1" s="47">
      <c r="A44" s="63">
        <f>Tracado_Perdas!B44</f>
        <v/>
      </c>
      <c r="B44" s="66">
        <f>Tracado_Perdas!D44</f>
        <v/>
      </c>
      <c r="C44" s="63">
        <f>Tracado_Perdas!S44*Tracado_Perdas!G44</f>
        <v/>
      </c>
      <c r="D44" s="63">
        <f>Tracado_Perdas!AB44*Tracado_Perdas!G44</f>
        <v/>
      </c>
      <c r="E44" s="63">
        <f>Hiperestatico!C44+Hiperestatico!G44</f>
        <v/>
      </c>
      <c r="F44" s="63">
        <f>Hiperestatico!E44+Hiperestatico!H44</f>
        <v/>
      </c>
      <c r="G44" s="67">
        <f>-C44/Dados!$C$8/1000+E44/Dados!$C$10/1000</f>
        <v/>
      </c>
      <c r="H44" s="67">
        <f>-C44/Dados!$C$8/1000-E44/Dados!$C$10/1000</f>
        <v/>
      </c>
      <c r="I44" s="67">
        <f>-D44/Dados!$C$8/1000+F44/Dados!$C$10/1000</f>
        <v/>
      </c>
      <c r="J44" s="67">
        <f>-D44/Dados!$C$8/1000-F44/Dados!$C$10/1000</f>
        <v/>
      </c>
      <c r="K44" s="67">
        <f>G44+Esforcos!D44/Dados!$C$10/1000</f>
        <v/>
      </c>
      <c r="L44" s="67">
        <f>H44-Esforcos!D44/Dados!$C$10/1000</f>
        <v/>
      </c>
      <c r="M44" s="67">
        <f>I44+Esforcos!H44/Dados!$C$10/1000</f>
        <v/>
      </c>
      <c r="N44" s="67">
        <f>J44-Esforcos!I44/Dados!$C$10/1000</f>
        <v/>
      </c>
      <c r="O44" s="67">
        <f>I44+Esforcos!J44/Dados!$C$10/1000</f>
        <v/>
      </c>
      <c r="P44" s="67">
        <f>J44-Esforcos!K44/Dados!$C$10/1000</f>
        <v/>
      </c>
      <c r="Q44" s="67">
        <f>J44-Esforcos!J44/Dados!$C$10/1000</f>
        <v/>
      </c>
      <c r="R44" s="67">
        <f>I44+Esforcos!K44/Dados!$C$10/1000</f>
        <v/>
      </c>
      <c r="S44" s="71">
        <f>IF(AND(K44&lt;=Dados!$C$26,L44&lt;=Dados!$C$26,K44&gt;=-Dados!$C$27,L44&gt;=-Dados!$C$27),"OK","ARMAR")</f>
        <v/>
      </c>
      <c r="T44" s="71">
        <f>IF(AND(M44&lt;=0,N44&lt;=0),"OK","NÃO")</f>
        <v/>
      </c>
      <c r="U44" s="71">
        <f>IF(AND(O44&lt;=Dados!$C$25,P44&lt;=Dados!$C$25),"OK","NÃO")</f>
        <v/>
      </c>
      <c r="V44" s="71">
        <f>IF(AND(Q44&gt;=-Dados!$C$28,R44&gt;=-Dados!$C$28,K44&gt;=-Dados!$C$27),"OK","NÃO")</f>
        <v/>
      </c>
      <c r="W44" s="67">
        <f>MAX(IF(K44&gt;Dados!$C$26,0.5*K44*1000*Dados!$C$6*(Dados!$C$7*K44/(K44-L44))/250000*10000,0),IF(L44&gt;Dados!$C$26,0.5*L44*1000*Dados!$C$6*(Dados!$C$7*L44/(L44-K44))/250000*10000,0))</f>
        <v/>
      </c>
    </row>
    <row r="45" ht="15" customHeight="1" s="47">
      <c r="A45" s="63">
        <f>Tracado_Perdas!B45</f>
        <v/>
      </c>
      <c r="B45" s="66">
        <f>Tracado_Perdas!D45</f>
        <v/>
      </c>
      <c r="C45" s="63">
        <f>Tracado_Perdas!S45*Tracado_Perdas!G45</f>
        <v/>
      </c>
      <c r="D45" s="63">
        <f>Tracado_Perdas!AB45*Tracado_Perdas!G45</f>
        <v/>
      </c>
      <c r="E45" s="63">
        <f>Hiperestatico!C45+Hiperestatico!G45</f>
        <v/>
      </c>
      <c r="F45" s="63">
        <f>Hiperestatico!E45+Hiperestatico!H45</f>
        <v/>
      </c>
      <c r="G45" s="67">
        <f>-C45/Dados!$C$8/1000+E45/Dados!$C$10/1000</f>
        <v/>
      </c>
      <c r="H45" s="67">
        <f>-C45/Dados!$C$8/1000-E45/Dados!$C$10/1000</f>
        <v/>
      </c>
      <c r="I45" s="67">
        <f>-D45/Dados!$C$8/1000+F45/Dados!$C$10/1000</f>
        <v/>
      </c>
      <c r="J45" s="67">
        <f>-D45/Dados!$C$8/1000-F45/Dados!$C$10/1000</f>
        <v/>
      </c>
      <c r="K45" s="67">
        <f>G45+Esforcos!D45/Dados!$C$10/1000</f>
        <v/>
      </c>
      <c r="L45" s="67">
        <f>H45-Esforcos!D45/Dados!$C$10/1000</f>
        <v/>
      </c>
      <c r="M45" s="67">
        <f>I45+Esforcos!H45/Dados!$C$10/1000</f>
        <v/>
      </c>
      <c r="N45" s="67">
        <f>J45-Esforcos!I45/Dados!$C$10/1000</f>
        <v/>
      </c>
      <c r="O45" s="67">
        <f>I45+Esforcos!J45/Dados!$C$10/1000</f>
        <v/>
      </c>
      <c r="P45" s="67">
        <f>J45-Esforcos!K45/Dados!$C$10/1000</f>
        <v/>
      </c>
      <c r="Q45" s="67">
        <f>J45-Esforcos!J45/Dados!$C$10/1000</f>
        <v/>
      </c>
      <c r="R45" s="67">
        <f>I45+Esforcos!K45/Dados!$C$10/1000</f>
        <v/>
      </c>
      <c r="S45" s="71">
        <f>IF(AND(K45&lt;=Dados!$C$26,L45&lt;=Dados!$C$26,K45&gt;=-Dados!$C$27,L45&gt;=-Dados!$C$27),"OK","ARMAR")</f>
        <v/>
      </c>
      <c r="T45" s="71">
        <f>IF(AND(M45&lt;=0,N45&lt;=0),"OK","NÃO")</f>
        <v/>
      </c>
      <c r="U45" s="71">
        <f>IF(AND(O45&lt;=Dados!$C$25,P45&lt;=Dados!$C$25),"OK","NÃO")</f>
        <v/>
      </c>
      <c r="V45" s="71">
        <f>IF(AND(Q45&gt;=-Dados!$C$28,R45&gt;=-Dados!$C$28,K45&gt;=-Dados!$C$27),"OK","NÃO")</f>
        <v/>
      </c>
      <c r="W45" s="67">
        <f>MAX(IF(K45&gt;Dados!$C$26,0.5*K45*1000*Dados!$C$6*(Dados!$C$7*K45/(K45-L45))/250000*10000,0),IF(L45&gt;Dados!$C$26,0.5*L45*1000*Dados!$C$6*(Dados!$C$7*L45/(L45-K45))/250000*10000,0))</f>
        <v/>
      </c>
    </row>
    <row r="46" ht="15" customHeight="1" s="47">
      <c r="A46" s="63">
        <f>Tracado_Perdas!B46</f>
        <v/>
      </c>
      <c r="B46" s="66">
        <f>Tracado_Perdas!D46</f>
        <v/>
      </c>
      <c r="C46" s="63">
        <f>Tracado_Perdas!S46*Tracado_Perdas!G46</f>
        <v/>
      </c>
      <c r="D46" s="63">
        <f>Tracado_Perdas!AB46*Tracado_Perdas!G46</f>
        <v/>
      </c>
      <c r="E46" s="63">
        <f>Hiperestatico!C46+Hiperestatico!G46</f>
        <v/>
      </c>
      <c r="F46" s="63">
        <f>Hiperestatico!E46+Hiperestatico!H46</f>
        <v/>
      </c>
      <c r="G46" s="67">
        <f>-C46/Dados!$C$8/1000+E46/Dados!$C$10/1000</f>
        <v/>
      </c>
      <c r="H46" s="67">
        <f>-C46/Dados!$C$8/1000-E46/Dados!$C$10/1000</f>
        <v/>
      </c>
      <c r="I46" s="67">
        <f>-D46/Dados!$C$8/1000+F46/Dados!$C$10/1000</f>
        <v/>
      </c>
      <c r="J46" s="67">
        <f>-D46/Dados!$C$8/1000-F46/Dados!$C$10/1000</f>
        <v/>
      </c>
      <c r="K46" s="67">
        <f>G46+Esforcos!D46/Dados!$C$10/1000</f>
        <v/>
      </c>
      <c r="L46" s="67">
        <f>H46-Esforcos!D46/Dados!$C$10/1000</f>
        <v/>
      </c>
      <c r="M46" s="67">
        <f>I46+Esforcos!H46/Dados!$C$10/1000</f>
        <v/>
      </c>
      <c r="N46" s="67">
        <f>J46-Esforcos!I46/Dados!$C$10/1000</f>
        <v/>
      </c>
      <c r="O46" s="67">
        <f>I46+Esforcos!J46/Dados!$C$10/1000</f>
        <v/>
      </c>
      <c r="P46" s="67">
        <f>J46-Esforcos!K46/Dados!$C$10/1000</f>
        <v/>
      </c>
      <c r="Q46" s="67">
        <f>J46-Esforcos!J46/Dados!$C$10/1000</f>
        <v/>
      </c>
      <c r="R46" s="67">
        <f>I46+Esforcos!K46/Dados!$C$10/1000</f>
        <v/>
      </c>
      <c r="S46" s="71">
        <f>IF(AND(K46&lt;=Dados!$C$26,L46&lt;=Dados!$C$26,K46&gt;=-Dados!$C$27,L46&gt;=-Dados!$C$27),"OK","ARMAR")</f>
        <v/>
      </c>
      <c r="T46" s="71">
        <f>IF(AND(M46&lt;=0,N46&lt;=0),"OK","NÃO")</f>
        <v/>
      </c>
      <c r="U46" s="71">
        <f>IF(AND(O46&lt;=Dados!$C$25,P46&lt;=Dados!$C$25),"OK","NÃO")</f>
        <v/>
      </c>
      <c r="V46" s="71">
        <f>IF(AND(Q46&gt;=-Dados!$C$28,R46&gt;=-Dados!$C$28,K46&gt;=-Dados!$C$27),"OK","NÃO")</f>
        <v/>
      </c>
      <c r="W46" s="67">
        <f>MAX(IF(K46&gt;Dados!$C$26,0.5*K46*1000*Dados!$C$6*(Dados!$C$7*K46/(K46-L46))/250000*10000,0),IF(L46&gt;Dados!$C$26,0.5*L46*1000*Dados!$C$6*(Dados!$C$7*L46/(L46-K46))/250000*10000,0))</f>
        <v/>
      </c>
    </row>
    <row r="47" ht="15" customHeight="1" s="47">
      <c r="A47" s="63">
        <f>Tracado_Perdas!B47</f>
        <v/>
      </c>
      <c r="B47" s="66">
        <f>Tracado_Perdas!D47</f>
        <v/>
      </c>
      <c r="C47" s="63">
        <f>Tracado_Perdas!S47*Tracado_Perdas!G47</f>
        <v/>
      </c>
      <c r="D47" s="63">
        <f>Tracado_Perdas!AB47*Tracado_Perdas!G47</f>
        <v/>
      </c>
      <c r="E47" s="63">
        <f>Hiperestatico!C47+Hiperestatico!G47</f>
        <v/>
      </c>
      <c r="F47" s="63">
        <f>Hiperestatico!E47+Hiperestatico!H47</f>
        <v/>
      </c>
      <c r="G47" s="67">
        <f>-C47/Dados!$C$8/1000+E47/Dados!$C$10/1000</f>
        <v/>
      </c>
      <c r="H47" s="67">
        <f>-C47/Dados!$C$8/1000-E47/Dados!$C$10/1000</f>
        <v/>
      </c>
      <c r="I47" s="67">
        <f>-D47/Dados!$C$8/1000+F47/Dados!$C$10/1000</f>
        <v/>
      </c>
      <c r="J47" s="67">
        <f>-D47/Dados!$C$8/1000-F47/Dados!$C$10/1000</f>
        <v/>
      </c>
      <c r="K47" s="67">
        <f>G47+Esforcos!D47/Dados!$C$10/1000</f>
        <v/>
      </c>
      <c r="L47" s="67">
        <f>H47-Esforcos!D47/Dados!$C$10/1000</f>
        <v/>
      </c>
      <c r="M47" s="67">
        <f>I47+Esforcos!H47/Dados!$C$10/1000</f>
        <v/>
      </c>
      <c r="N47" s="67">
        <f>J47-Esforcos!I47/Dados!$C$10/1000</f>
        <v/>
      </c>
      <c r="O47" s="67">
        <f>I47+Esforcos!J47/Dados!$C$10/1000</f>
        <v/>
      </c>
      <c r="P47" s="67">
        <f>J47-Esforcos!K47/Dados!$C$10/1000</f>
        <v/>
      </c>
      <c r="Q47" s="67">
        <f>J47-Esforcos!J47/Dados!$C$10/1000</f>
        <v/>
      </c>
      <c r="R47" s="67">
        <f>I47+Esforcos!K47/Dados!$C$10/1000</f>
        <v/>
      </c>
      <c r="S47" s="71">
        <f>IF(AND(K47&lt;=Dados!$C$26,L47&lt;=Dados!$C$26,K47&gt;=-Dados!$C$27,L47&gt;=-Dados!$C$27),"OK","ARMAR")</f>
        <v/>
      </c>
      <c r="T47" s="71">
        <f>IF(AND(M47&lt;=0,N47&lt;=0),"OK","NÃO")</f>
        <v/>
      </c>
      <c r="U47" s="71">
        <f>IF(AND(O47&lt;=Dados!$C$25,P47&lt;=Dados!$C$25),"OK","NÃO")</f>
        <v/>
      </c>
      <c r="V47" s="71">
        <f>IF(AND(Q47&gt;=-Dados!$C$28,R47&gt;=-Dados!$C$28,K47&gt;=-Dados!$C$27),"OK","NÃO")</f>
        <v/>
      </c>
      <c r="W47" s="67">
        <f>MAX(IF(K47&gt;Dados!$C$26,0.5*K47*1000*Dados!$C$6*(Dados!$C$7*K47/(K47-L47))/250000*10000,0),IF(L47&gt;Dados!$C$26,0.5*L47*1000*Dados!$C$6*(Dados!$C$7*L47/(L47-K47))/250000*10000,0))</f>
        <v/>
      </c>
    </row>
    <row r="48" ht="15" customHeight="1" s="47">
      <c r="A48" s="63">
        <f>Tracado_Perdas!B48</f>
        <v/>
      </c>
      <c r="B48" s="66">
        <f>Tracado_Perdas!D48</f>
        <v/>
      </c>
      <c r="C48" s="63">
        <f>Tracado_Perdas!S48*Tracado_Perdas!G48</f>
        <v/>
      </c>
      <c r="D48" s="63">
        <f>Tracado_Perdas!AB48*Tracado_Perdas!G48</f>
        <v/>
      </c>
      <c r="E48" s="63">
        <f>Hiperestatico!C48+Hiperestatico!G48</f>
        <v/>
      </c>
      <c r="F48" s="63">
        <f>Hiperestatico!E48+Hiperestatico!H48</f>
        <v/>
      </c>
      <c r="G48" s="67">
        <f>-C48/Dados!$C$8/1000+E48/Dados!$C$10/1000</f>
        <v/>
      </c>
      <c r="H48" s="67">
        <f>-C48/Dados!$C$8/1000-E48/Dados!$C$10/1000</f>
        <v/>
      </c>
      <c r="I48" s="67">
        <f>-D48/Dados!$C$8/1000+F48/Dados!$C$10/1000</f>
        <v/>
      </c>
      <c r="J48" s="67">
        <f>-D48/Dados!$C$8/1000-F48/Dados!$C$10/1000</f>
        <v/>
      </c>
      <c r="K48" s="67">
        <f>G48+Esforcos!D48/Dados!$C$10/1000</f>
        <v/>
      </c>
      <c r="L48" s="67">
        <f>H48-Esforcos!D48/Dados!$C$10/1000</f>
        <v/>
      </c>
      <c r="M48" s="67">
        <f>I48+Esforcos!H48/Dados!$C$10/1000</f>
        <v/>
      </c>
      <c r="N48" s="67">
        <f>J48-Esforcos!I48/Dados!$C$10/1000</f>
        <v/>
      </c>
      <c r="O48" s="67">
        <f>I48+Esforcos!J48/Dados!$C$10/1000</f>
        <v/>
      </c>
      <c r="P48" s="67">
        <f>J48-Esforcos!K48/Dados!$C$10/1000</f>
        <v/>
      </c>
      <c r="Q48" s="67">
        <f>J48-Esforcos!J48/Dados!$C$10/1000</f>
        <v/>
      </c>
      <c r="R48" s="67">
        <f>I48+Esforcos!K48/Dados!$C$10/1000</f>
        <v/>
      </c>
      <c r="S48" s="71">
        <f>IF(AND(K48&lt;=Dados!$C$26,L48&lt;=Dados!$C$26,K48&gt;=-Dados!$C$27,L48&gt;=-Dados!$C$27),"OK","ARMAR")</f>
        <v/>
      </c>
      <c r="T48" s="71">
        <f>IF(AND(M48&lt;=0,N48&lt;=0),"OK","NÃO")</f>
        <v/>
      </c>
      <c r="U48" s="71">
        <f>IF(AND(O48&lt;=Dados!$C$25,P48&lt;=Dados!$C$25),"OK","NÃO")</f>
        <v/>
      </c>
      <c r="V48" s="71">
        <f>IF(AND(Q48&gt;=-Dados!$C$28,R48&gt;=-Dados!$C$28,K48&gt;=-Dados!$C$27),"OK","NÃO")</f>
        <v/>
      </c>
      <c r="W48" s="67">
        <f>MAX(IF(K48&gt;Dados!$C$26,0.5*K48*1000*Dados!$C$6*(Dados!$C$7*K48/(K48-L48))/250000*10000,0),IF(L48&gt;Dados!$C$26,0.5*L48*1000*Dados!$C$6*(Dados!$C$7*L48/(L48-K48))/250000*10000,0))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Q4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46" min="1" max="15"/>
    <col width="14" customWidth="1" style="46" min="16" max="16"/>
    <col width="11" customWidth="1" style="46" min="17" max="17"/>
  </cols>
  <sheetData>
    <row r="1" ht="16.15" customHeight="1" s="47">
      <c r="A1" s="59" t="inlineStr">
        <is>
          <t>Fuso limite - região admissível da linha de pressões da protensão (e positivo abaixo do CG)</t>
        </is>
      </c>
    </row>
    <row r="2" ht="15" customHeight="1" s="47">
      <c r="A2" s="49" t="inlineStr">
        <is>
          <t>Limites de e_lp (m): ato (Pi, Mg0) e serviço (P∞, CFQ/CR). A linha de pressões e_lp = e - M_hip/N deve permanecer entre os limites. Quando o limite de tração no ato é violado, adota-se armadura passiva (As,ato).</t>
        </is>
      </c>
    </row>
    <row r="6" ht="31.5" customHeight="1" s="47">
      <c r="A6" s="60" t="inlineStr">
        <is>
          <t>x</t>
        </is>
      </c>
      <c r="B6" s="60" t="inlineStr">
        <is>
          <t>e (cabo)</t>
        </is>
      </c>
      <c r="C6" s="60" t="inlineStr">
        <is>
          <t>e_lp,∞ = e - M_hip/N</t>
        </is>
      </c>
      <c r="D6" s="60" t="inlineStr">
        <is>
          <t>inf: ato tração σ1</t>
        </is>
      </c>
      <c r="E6" s="60" t="inlineStr">
        <is>
          <t>inf: ato compr. σ2</t>
        </is>
      </c>
      <c r="F6" s="60" t="inlineStr">
        <is>
          <t>inf: ELS-D σ1 (CFQ)</t>
        </is>
      </c>
      <c r="G6" s="60" t="inlineStr">
        <is>
          <t>inf: ELS-F σ1 (CR)</t>
        </is>
      </c>
      <c r="H6" s="60" t="inlineStr">
        <is>
          <t>inf: ELS-CE σ2 (CR)</t>
        </is>
      </c>
      <c r="I6" s="60" t="inlineStr">
        <is>
          <t>sup: ato compr. σ1</t>
        </is>
      </c>
      <c r="J6" s="60" t="inlineStr">
        <is>
          <t>sup: ato tração σ2</t>
        </is>
      </c>
      <c r="K6" s="60" t="inlineStr">
        <is>
          <t>sup: ELS-D σ2 (CFQ)</t>
        </is>
      </c>
      <c r="L6" s="60" t="inlineStr">
        <is>
          <t>sup: ELS-F σ2 (CR)</t>
        </is>
      </c>
      <c r="M6" s="60" t="inlineStr">
        <is>
          <t>sup: ELS-CE σ1 (CR)</t>
        </is>
      </c>
      <c r="N6" s="60" t="inlineStr">
        <is>
          <t>Limite inferior do fuso (e mín)</t>
        </is>
      </c>
      <c r="O6" s="60" t="inlineStr">
        <is>
          <t>Limite superior do fuso (e máx)</t>
        </is>
      </c>
      <c r="P6" s="60" t="inlineStr">
        <is>
          <t>e_lp no fuso?</t>
        </is>
      </c>
      <c r="Q6" s="60" t="inlineStr">
        <is>
          <t>Limite de cobrimento</t>
        </is>
      </c>
    </row>
    <row r="7" ht="15" customHeight="1" s="47">
      <c r="A7" s="61" t="inlineStr">
        <is>
          <t>m</t>
        </is>
      </c>
      <c r="B7" s="61" t="inlineStr">
        <is>
          <t>m</t>
        </is>
      </c>
      <c r="C7" s="61" t="inlineStr">
        <is>
          <t>m</t>
        </is>
      </c>
      <c r="D7" s="61" t="inlineStr">
        <is>
          <t>m</t>
        </is>
      </c>
      <c r="E7" s="61" t="inlineStr">
        <is>
          <t>m</t>
        </is>
      </c>
      <c r="F7" s="61" t="inlineStr">
        <is>
          <t>m</t>
        </is>
      </c>
      <c r="G7" s="61" t="inlineStr">
        <is>
          <t>m</t>
        </is>
      </c>
      <c r="H7" s="61" t="inlineStr">
        <is>
          <t>m</t>
        </is>
      </c>
      <c r="I7" s="61" t="inlineStr">
        <is>
          <t>m</t>
        </is>
      </c>
      <c r="J7" s="61" t="inlineStr">
        <is>
          <t>m</t>
        </is>
      </c>
      <c r="K7" s="61" t="inlineStr">
        <is>
          <t>m</t>
        </is>
      </c>
      <c r="L7" s="61" t="inlineStr">
        <is>
          <t>m</t>
        </is>
      </c>
      <c r="M7" s="61" t="inlineStr">
        <is>
          <t>m</t>
        </is>
      </c>
      <c r="N7" s="61" t="inlineStr">
        <is>
          <t>m</t>
        </is>
      </c>
      <c r="O7" s="61" t="inlineStr">
        <is>
          <t>m</t>
        </is>
      </c>
      <c r="P7" s="61" t="n"/>
      <c r="Q7" s="61" t="inlineStr">
        <is>
          <t>m</t>
        </is>
      </c>
    </row>
    <row r="8" ht="15" customHeight="1" s="47">
      <c r="A8" s="63">
        <f>Tracado_Perdas!B8</f>
        <v/>
      </c>
      <c r="B8" s="66">
        <f>Tracado_Perdas!D8</f>
        <v/>
      </c>
      <c r="C8" s="66">
        <f>B8-Hiperestatico!H8/Tensoes!D8</f>
        <v/>
      </c>
      <c r="D8" s="66">
        <f>(Esforcos!D8-Dados!$C$26*1000*Dados!$C$10)/Tensoes!C8-Dados!$C$11</f>
        <v/>
      </c>
      <c r="E8" s="66">
        <f>(Esforcos!D8-Dados!$C$27*1000*Dados!$C$10)/Tensoes!C8+Dados!$C$11</f>
        <v/>
      </c>
      <c r="F8" s="66">
        <f>Esforcos!H8/Tensoes!D8-Dados!$C$11</f>
        <v/>
      </c>
      <c r="G8" s="66">
        <f>(Esforcos!J8-Dados!$C$25*1000*Dados!$C$10)/Tensoes!D8-Dados!$C$11</f>
        <v/>
      </c>
      <c r="H8" s="66">
        <f>(Esforcos!J8-Dados!$C$28*1000*Dados!$C$10)/Tensoes!D8+Dados!$C$11</f>
        <v/>
      </c>
      <c r="I8" s="66">
        <f>(Esforcos!D8+Dados!$C$27*1000*Dados!$C$10)/Tensoes!C8-Dados!$C$11</f>
        <v/>
      </c>
      <c r="J8" s="66">
        <f>(Esforcos!D8+Dados!$C$26*1000*Dados!$C$10)/Tensoes!C8+Dados!$C$11</f>
        <v/>
      </c>
      <c r="K8" s="66">
        <f>Esforcos!I8/Tensoes!D8+Dados!$C$11</f>
        <v/>
      </c>
      <c r="L8" s="66">
        <f>(Dados!$C$25*1000*Dados!$C$10+Esforcos!K8)/Tensoes!D8+Dados!$C$11</f>
        <v/>
      </c>
      <c r="M8" s="66">
        <f>(Esforcos!K8+Dados!$C$28*1000*Dados!$C$10)/Tensoes!D8-Dados!$C$11</f>
        <v/>
      </c>
      <c r="N8" s="66">
        <f>MAX(D8:H8)</f>
        <v/>
      </c>
      <c r="O8" s="66">
        <f>MIN(I8:M8)</f>
        <v/>
      </c>
      <c r="P8" s="71">
        <f>IF(AND(C8&gt;=N8,C8&lt;=O8),"SIM",IF(AND(C8&gt;=MAX(F8:H8),C8&lt;=MIN(K8:M8)),"SIM c/ As,ato","NÃO"))</f>
        <v/>
      </c>
      <c r="Q8" s="66">
        <f>Dados!$C$42</f>
        <v/>
      </c>
    </row>
    <row r="9" ht="15" customHeight="1" s="47">
      <c r="A9" s="63">
        <f>Tracado_Perdas!B9</f>
        <v/>
      </c>
      <c r="B9" s="66">
        <f>Tracado_Perdas!D9</f>
        <v/>
      </c>
      <c r="C9" s="66">
        <f>B9-Hiperestatico!H9/Tensoes!D9</f>
        <v/>
      </c>
      <c r="D9" s="66">
        <f>(Esforcos!D9-Dados!$C$26*1000*Dados!$C$10)/Tensoes!C9-Dados!$C$11</f>
        <v/>
      </c>
      <c r="E9" s="66">
        <f>(Esforcos!D9-Dados!$C$27*1000*Dados!$C$10)/Tensoes!C9+Dados!$C$11</f>
        <v/>
      </c>
      <c r="F9" s="66">
        <f>Esforcos!H9/Tensoes!D9-Dados!$C$11</f>
        <v/>
      </c>
      <c r="G9" s="66">
        <f>(Esforcos!J9-Dados!$C$25*1000*Dados!$C$10)/Tensoes!D9-Dados!$C$11</f>
        <v/>
      </c>
      <c r="H9" s="66">
        <f>(Esforcos!J9-Dados!$C$28*1000*Dados!$C$10)/Tensoes!D9+Dados!$C$11</f>
        <v/>
      </c>
      <c r="I9" s="66">
        <f>(Esforcos!D9+Dados!$C$27*1000*Dados!$C$10)/Tensoes!C9-Dados!$C$11</f>
        <v/>
      </c>
      <c r="J9" s="66">
        <f>(Esforcos!D9+Dados!$C$26*1000*Dados!$C$10)/Tensoes!C9+Dados!$C$11</f>
        <v/>
      </c>
      <c r="K9" s="66">
        <f>Esforcos!I9/Tensoes!D9+Dados!$C$11</f>
        <v/>
      </c>
      <c r="L9" s="66">
        <f>(Dados!$C$25*1000*Dados!$C$10+Esforcos!K9)/Tensoes!D9+Dados!$C$11</f>
        <v/>
      </c>
      <c r="M9" s="66">
        <f>(Esforcos!K9+Dados!$C$28*1000*Dados!$C$10)/Tensoes!D9-Dados!$C$11</f>
        <v/>
      </c>
      <c r="N9" s="66">
        <f>MAX(D9:H9)</f>
        <v/>
      </c>
      <c r="O9" s="66">
        <f>MIN(I9:M9)</f>
        <v/>
      </c>
      <c r="P9" s="71">
        <f>IF(AND(C9&gt;=N9,C9&lt;=O9),"SIM",IF(AND(C9&gt;=MAX(F9:H9),C9&lt;=MIN(K9:M9)),"SIM c/ As,ato","NÃO"))</f>
        <v/>
      </c>
      <c r="Q9" s="66">
        <f>Dados!$C$42</f>
        <v/>
      </c>
    </row>
    <row r="10" ht="15" customHeight="1" s="47">
      <c r="A10" s="63">
        <f>Tracado_Perdas!B10</f>
        <v/>
      </c>
      <c r="B10" s="66">
        <f>Tracado_Perdas!D10</f>
        <v/>
      </c>
      <c r="C10" s="66">
        <f>B10-Hiperestatico!H10/Tensoes!D10</f>
        <v/>
      </c>
      <c r="D10" s="66">
        <f>(Esforcos!D10-Dados!$C$26*1000*Dados!$C$10)/Tensoes!C10-Dados!$C$11</f>
        <v/>
      </c>
      <c r="E10" s="66">
        <f>(Esforcos!D10-Dados!$C$27*1000*Dados!$C$10)/Tensoes!C10+Dados!$C$11</f>
        <v/>
      </c>
      <c r="F10" s="66">
        <f>Esforcos!H10/Tensoes!D10-Dados!$C$11</f>
        <v/>
      </c>
      <c r="G10" s="66">
        <f>(Esforcos!J10-Dados!$C$25*1000*Dados!$C$10)/Tensoes!D10-Dados!$C$11</f>
        <v/>
      </c>
      <c r="H10" s="66">
        <f>(Esforcos!J10-Dados!$C$28*1000*Dados!$C$10)/Tensoes!D10+Dados!$C$11</f>
        <v/>
      </c>
      <c r="I10" s="66">
        <f>(Esforcos!D10+Dados!$C$27*1000*Dados!$C$10)/Tensoes!C10-Dados!$C$11</f>
        <v/>
      </c>
      <c r="J10" s="66">
        <f>(Esforcos!D10+Dados!$C$26*1000*Dados!$C$10)/Tensoes!C10+Dados!$C$11</f>
        <v/>
      </c>
      <c r="K10" s="66">
        <f>Esforcos!I10/Tensoes!D10+Dados!$C$11</f>
        <v/>
      </c>
      <c r="L10" s="66">
        <f>(Dados!$C$25*1000*Dados!$C$10+Esforcos!K10)/Tensoes!D10+Dados!$C$11</f>
        <v/>
      </c>
      <c r="M10" s="66">
        <f>(Esforcos!K10+Dados!$C$28*1000*Dados!$C$10)/Tensoes!D10-Dados!$C$11</f>
        <v/>
      </c>
      <c r="N10" s="66">
        <f>MAX(D10:H10)</f>
        <v/>
      </c>
      <c r="O10" s="66">
        <f>MIN(I10:M10)</f>
        <v/>
      </c>
      <c r="P10" s="71">
        <f>IF(AND(C10&gt;=N10,C10&lt;=O10),"SIM",IF(AND(C10&gt;=MAX(F10:H10),C10&lt;=MIN(K10:M10)),"SIM c/ As,ato","NÃO"))</f>
        <v/>
      </c>
      <c r="Q10" s="66">
        <f>Dados!$C$42</f>
        <v/>
      </c>
    </row>
    <row r="11" ht="15" customHeight="1" s="47">
      <c r="A11" s="63">
        <f>Tracado_Perdas!B11</f>
        <v/>
      </c>
      <c r="B11" s="66">
        <f>Tracado_Perdas!D11</f>
        <v/>
      </c>
      <c r="C11" s="66">
        <f>B11-Hiperestatico!H11/Tensoes!D11</f>
        <v/>
      </c>
      <c r="D11" s="66">
        <f>(Esforcos!D11-Dados!$C$26*1000*Dados!$C$10)/Tensoes!C11-Dados!$C$11</f>
        <v/>
      </c>
      <c r="E11" s="66">
        <f>(Esforcos!D11-Dados!$C$27*1000*Dados!$C$10)/Tensoes!C11+Dados!$C$11</f>
        <v/>
      </c>
      <c r="F11" s="66">
        <f>Esforcos!H11/Tensoes!D11-Dados!$C$11</f>
        <v/>
      </c>
      <c r="G11" s="66">
        <f>(Esforcos!J11-Dados!$C$25*1000*Dados!$C$10)/Tensoes!D11-Dados!$C$11</f>
        <v/>
      </c>
      <c r="H11" s="66">
        <f>(Esforcos!J11-Dados!$C$28*1000*Dados!$C$10)/Tensoes!D11+Dados!$C$11</f>
        <v/>
      </c>
      <c r="I11" s="66">
        <f>(Esforcos!D11+Dados!$C$27*1000*Dados!$C$10)/Tensoes!C11-Dados!$C$11</f>
        <v/>
      </c>
      <c r="J11" s="66">
        <f>(Esforcos!D11+Dados!$C$26*1000*Dados!$C$10)/Tensoes!C11+Dados!$C$11</f>
        <v/>
      </c>
      <c r="K11" s="66">
        <f>Esforcos!I11/Tensoes!D11+Dados!$C$11</f>
        <v/>
      </c>
      <c r="L11" s="66">
        <f>(Dados!$C$25*1000*Dados!$C$10+Esforcos!K11)/Tensoes!D11+Dados!$C$11</f>
        <v/>
      </c>
      <c r="M11" s="66">
        <f>(Esforcos!K11+Dados!$C$28*1000*Dados!$C$10)/Tensoes!D11-Dados!$C$11</f>
        <v/>
      </c>
      <c r="N11" s="66">
        <f>MAX(D11:H11)</f>
        <v/>
      </c>
      <c r="O11" s="66">
        <f>MIN(I11:M11)</f>
        <v/>
      </c>
      <c r="P11" s="71">
        <f>IF(AND(C11&gt;=N11,C11&lt;=O11),"SIM",IF(AND(C11&gt;=MAX(F11:H11),C11&lt;=MIN(K11:M11)),"SIM c/ As,ato","NÃO"))</f>
        <v/>
      </c>
      <c r="Q11" s="66">
        <f>Dados!$C$42</f>
        <v/>
      </c>
    </row>
    <row r="12" ht="15" customHeight="1" s="47">
      <c r="A12" s="63">
        <f>Tracado_Perdas!B12</f>
        <v/>
      </c>
      <c r="B12" s="66">
        <f>Tracado_Perdas!D12</f>
        <v/>
      </c>
      <c r="C12" s="66">
        <f>B12-Hiperestatico!H12/Tensoes!D12</f>
        <v/>
      </c>
      <c r="D12" s="66">
        <f>(Esforcos!D12-Dados!$C$26*1000*Dados!$C$10)/Tensoes!C12-Dados!$C$11</f>
        <v/>
      </c>
      <c r="E12" s="66">
        <f>(Esforcos!D12-Dados!$C$27*1000*Dados!$C$10)/Tensoes!C12+Dados!$C$11</f>
        <v/>
      </c>
      <c r="F12" s="66">
        <f>Esforcos!H12/Tensoes!D12-Dados!$C$11</f>
        <v/>
      </c>
      <c r="G12" s="66">
        <f>(Esforcos!J12-Dados!$C$25*1000*Dados!$C$10)/Tensoes!D12-Dados!$C$11</f>
        <v/>
      </c>
      <c r="H12" s="66">
        <f>(Esforcos!J12-Dados!$C$28*1000*Dados!$C$10)/Tensoes!D12+Dados!$C$11</f>
        <v/>
      </c>
      <c r="I12" s="66">
        <f>(Esforcos!D12+Dados!$C$27*1000*Dados!$C$10)/Tensoes!C12-Dados!$C$11</f>
        <v/>
      </c>
      <c r="J12" s="66">
        <f>(Esforcos!D12+Dados!$C$26*1000*Dados!$C$10)/Tensoes!C12+Dados!$C$11</f>
        <v/>
      </c>
      <c r="K12" s="66">
        <f>Esforcos!I12/Tensoes!D12+Dados!$C$11</f>
        <v/>
      </c>
      <c r="L12" s="66">
        <f>(Dados!$C$25*1000*Dados!$C$10+Esforcos!K12)/Tensoes!D12+Dados!$C$11</f>
        <v/>
      </c>
      <c r="M12" s="66">
        <f>(Esforcos!K12+Dados!$C$28*1000*Dados!$C$10)/Tensoes!D12-Dados!$C$11</f>
        <v/>
      </c>
      <c r="N12" s="66">
        <f>MAX(D12:H12)</f>
        <v/>
      </c>
      <c r="O12" s="66">
        <f>MIN(I12:M12)</f>
        <v/>
      </c>
      <c r="P12" s="71">
        <f>IF(AND(C12&gt;=N12,C12&lt;=O12),"SIM",IF(AND(C12&gt;=MAX(F12:H12),C12&lt;=MIN(K12:M12)),"SIM c/ As,ato","NÃO"))</f>
        <v/>
      </c>
      <c r="Q12" s="66">
        <f>Dados!$C$42</f>
        <v/>
      </c>
    </row>
    <row r="13" ht="15" customHeight="1" s="47">
      <c r="A13" s="63">
        <f>Tracado_Perdas!B13</f>
        <v/>
      </c>
      <c r="B13" s="66">
        <f>Tracado_Perdas!D13</f>
        <v/>
      </c>
      <c r="C13" s="66">
        <f>B13-Hiperestatico!H13/Tensoes!D13</f>
        <v/>
      </c>
      <c r="D13" s="66">
        <f>(Esforcos!D13-Dados!$C$26*1000*Dados!$C$10)/Tensoes!C13-Dados!$C$11</f>
        <v/>
      </c>
      <c r="E13" s="66">
        <f>(Esforcos!D13-Dados!$C$27*1000*Dados!$C$10)/Tensoes!C13+Dados!$C$11</f>
        <v/>
      </c>
      <c r="F13" s="66">
        <f>Esforcos!H13/Tensoes!D13-Dados!$C$11</f>
        <v/>
      </c>
      <c r="G13" s="66">
        <f>(Esforcos!J13-Dados!$C$25*1000*Dados!$C$10)/Tensoes!D13-Dados!$C$11</f>
        <v/>
      </c>
      <c r="H13" s="66">
        <f>(Esforcos!J13-Dados!$C$28*1000*Dados!$C$10)/Tensoes!D13+Dados!$C$11</f>
        <v/>
      </c>
      <c r="I13" s="66">
        <f>(Esforcos!D13+Dados!$C$27*1000*Dados!$C$10)/Tensoes!C13-Dados!$C$11</f>
        <v/>
      </c>
      <c r="J13" s="66">
        <f>(Esforcos!D13+Dados!$C$26*1000*Dados!$C$10)/Tensoes!C13+Dados!$C$11</f>
        <v/>
      </c>
      <c r="K13" s="66">
        <f>Esforcos!I13/Tensoes!D13+Dados!$C$11</f>
        <v/>
      </c>
      <c r="L13" s="66">
        <f>(Dados!$C$25*1000*Dados!$C$10+Esforcos!K13)/Tensoes!D13+Dados!$C$11</f>
        <v/>
      </c>
      <c r="M13" s="66">
        <f>(Esforcos!K13+Dados!$C$28*1000*Dados!$C$10)/Tensoes!D13-Dados!$C$11</f>
        <v/>
      </c>
      <c r="N13" s="66">
        <f>MAX(D13:H13)</f>
        <v/>
      </c>
      <c r="O13" s="66">
        <f>MIN(I13:M13)</f>
        <v/>
      </c>
      <c r="P13" s="71">
        <f>IF(AND(C13&gt;=N13,C13&lt;=O13),"SIM",IF(AND(C13&gt;=MAX(F13:H13),C13&lt;=MIN(K13:M13)),"SIM c/ As,ato","NÃO"))</f>
        <v/>
      </c>
      <c r="Q13" s="66">
        <f>Dados!$C$42</f>
        <v/>
      </c>
    </row>
    <row r="14" ht="15" customHeight="1" s="47">
      <c r="A14" s="63">
        <f>Tracado_Perdas!B14</f>
        <v/>
      </c>
      <c r="B14" s="66">
        <f>Tracado_Perdas!D14</f>
        <v/>
      </c>
      <c r="C14" s="66">
        <f>B14-Hiperestatico!H14/Tensoes!D14</f>
        <v/>
      </c>
      <c r="D14" s="66">
        <f>(Esforcos!D14-Dados!$C$26*1000*Dados!$C$10)/Tensoes!C14-Dados!$C$11</f>
        <v/>
      </c>
      <c r="E14" s="66">
        <f>(Esforcos!D14-Dados!$C$27*1000*Dados!$C$10)/Tensoes!C14+Dados!$C$11</f>
        <v/>
      </c>
      <c r="F14" s="66">
        <f>Esforcos!H14/Tensoes!D14-Dados!$C$11</f>
        <v/>
      </c>
      <c r="G14" s="66">
        <f>(Esforcos!J14-Dados!$C$25*1000*Dados!$C$10)/Tensoes!D14-Dados!$C$11</f>
        <v/>
      </c>
      <c r="H14" s="66">
        <f>(Esforcos!J14-Dados!$C$28*1000*Dados!$C$10)/Tensoes!D14+Dados!$C$11</f>
        <v/>
      </c>
      <c r="I14" s="66">
        <f>(Esforcos!D14+Dados!$C$27*1000*Dados!$C$10)/Tensoes!C14-Dados!$C$11</f>
        <v/>
      </c>
      <c r="J14" s="66">
        <f>(Esforcos!D14+Dados!$C$26*1000*Dados!$C$10)/Tensoes!C14+Dados!$C$11</f>
        <v/>
      </c>
      <c r="K14" s="66">
        <f>Esforcos!I14/Tensoes!D14+Dados!$C$11</f>
        <v/>
      </c>
      <c r="L14" s="66">
        <f>(Dados!$C$25*1000*Dados!$C$10+Esforcos!K14)/Tensoes!D14+Dados!$C$11</f>
        <v/>
      </c>
      <c r="M14" s="66">
        <f>(Esforcos!K14+Dados!$C$28*1000*Dados!$C$10)/Tensoes!D14-Dados!$C$11</f>
        <v/>
      </c>
      <c r="N14" s="66">
        <f>MAX(D14:H14)</f>
        <v/>
      </c>
      <c r="O14" s="66">
        <f>MIN(I14:M14)</f>
        <v/>
      </c>
      <c r="P14" s="71">
        <f>IF(AND(C14&gt;=N14,C14&lt;=O14),"SIM",IF(AND(C14&gt;=MAX(F14:H14),C14&lt;=MIN(K14:M14)),"SIM c/ As,ato","NÃO"))</f>
        <v/>
      </c>
      <c r="Q14" s="66">
        <f>Dados!$C$42</f>
        <v/>
      </c>
    </row>
    <row r="15" ht="15" customHeight="1" s="47">
      <c r="A15" s="63">
        <f>Tracado_Perdas!B15</f>
        <v/>
      </c>
      <c r="B15" s="66">
        <f>Tracado_Perdas!D15</f>
        <v/>
      </c>
      <c r="C15" s="66">
        <f>B15-Hiperestatico!H15/Tensoes!D15</f>
        <v/>
      </c>
      <c r="D15" s="66">
        <f>(Esforcos!D15-Dados!$C$26*1000*Dados!$C$10)/Tensoes!C15-Dados!$C$11</f>
        <v/>
      </c>
      <c r="E15" s="66">
        <f>(Esforcos!D15-Dados!$C$27*1000*Dados!$C$10)/Tensoes!C15+Dados!$C$11</f>
        <v/>
      </c>
      <c r="F15" s="66">
        <f>Esforcos!H15/Tensoes!D15-Dados!$C$11</f>
        <v/>
      </c>
      <c r="G15" s="66">
        <f>(Esforcos!J15-Dados!$C$25*1000*Dados!$C$10)/Tensoes!D15-Dados!$C$11</f>
        <v/>
      </c>
      <c r="H15" s="66">
        <f>(Esforcos!J15-Dados!$C$28*1000*Dados!$C$10)/Tensoes!D15+Dados!$C$11</f>
        <v/>
      </c>
      <c r="I15" s="66">
        <f>(Esforcos!D15+Dados!$C$27*1000*Dados!$C$10)/Tensoes!C15-Dados!$C$11</f>
        <v/>
      </c>
      <c r="J15" s="66">
        <f>(Esforcos!D15+Dados!$C$26*1000*Dados!$C$10)/Tensoes!C15+Dados!$C$11</f>
        <v/>
      </c>
      <c r="K15" s="66">
        <f>Esforcos!I15/Tensoes!D15+Dados!$C$11</f>
        <v/>
      </c>
      <c r="L15" s="66">
        <f>(Dados!$C$25*1000*Dados!$C$10+Esforcos!K15)/Tensoes!D15+Dados!$C$11</f>
        <v/>
      </c>
      <c r="M15" s="66">
        <f>(Esforcos!K15+Dados!$C$28*1000*Dados!$C$10)/Tensoes!D15-Dados!$C$11</f>
        <v/>
      </c>
      <c r="N15" s="66">
        <f>MAX(D15:H15)</f>
        <v/>
      </c>
      <c r="O15" s="66">
        <f>MIN(I15:M15)</f>
        <v/>
      </c>
      <c r="P15" s="71">
        <f>IF(AND(C15&gt;=N15,C15&lt;=O15),"SIM",IF(AND(C15&gt;=MAX(F15:H15),C15&lt;=MIN(K15:M15)),"SIM c/ As,ato","NÃO"))</f>
        <v/>
      </c>
      <c r="Q15" s="66">
        <f>Dados!$C$42</f>
        <v/>
      </c>
    </row>
    <row r="16" ht="15" customHeight="1" s="47">
      <c r="A16" s="63">
        <f>Tracado_Perdas!B16</f>
        <v/>
      </c>
      <c r="B16" s="66">
        <f>Tracado_Perdas!D16</f>
        <v/>
      </c>
      <c r="C16" s="66">
        <f>B16-Hiperestatico!H16/Tensoes!D16</f>
        <v/>
      </c>
      <c r="D16" s="66">
        <f>(Esforcos!D16-Dados!$C$26*1000*Dados!$C$10)/Tensoes!C16-Dados!$C$11</f>
        <v/>
      </c>
      <c r="E16" s="66">
        <f>(Esforcos!D16-Dados!$C$27*1000*Dados!$C$10)/Tensoes!C16+Dados!$C$11</f>
        <v/>
      </c>
      <c r="F16" s="66">
        <f>Esforcos!H16/Tensoes!D16-Dados!$C$11</f>
        <v/>
      </c>
      <c r="G16" s="66">
        <f>(Esforcos!J16-Dados!$C$25*1000*Dados!$C$10)/Tensoes!D16-Dados!$C$11</f>
        <v/>
      </c>
      <c r="H16" s="66">
        <f>(Esforcos!J16-Dados!$C$28*1000*Dados!$C$10)/Tensoes!D16+Dados!$C$11</f>
        <v/>
      </c>
      <c r="I16" s="66">
        <f>(Esforcos!D16+Dados!$C$27*1000*Dados!$C$10)/Tensoes!C16-Dados!$C$11</f>
        <v/>
      </c>
      <c r="J16" s="66">
        <f>(Esforcos!D16+Dados!$C$26*1000*Dados!$C$10)/Tensoes!C16+Dados!$C$11</f>
        <v/>
      </c>
      <c r="K16" s="66">
        <f>Esforcos!I16/Tensoes!D16+Dados!$C$11</f>
        <v/>
      </c>
      <c r="L16" s="66">
        <f>(Dados!$C$25*1000*Dados!$C$10+Esforcos!K16)/Tensoes!D16+Dados!$C$11</f>
        <v/>
      </c>
      <c r="M16" s="66">
        <f>(Esforcos!K16+Dados!$C$28*1000*Dados!$C$10)/Tensoes!D16-Dados!$C$11</f>
        <v/>
      </c>
      <c r="N16" s="66">
        <f>MAX(D16:H16)</f>
        <v/>
      </c>
      <c r="O16" s="66">
        <f>MIN(I16:M16)</f>
        <v/>
      </c>
      <c r="P16" s="71">
        <f>IF(AND(C16&gt;=N16,C16&lt;=O16),"SIM",IF(AND(C16&gt;=MAX(F16:H16),C16&lt;=MIN(K16:M16)),"SIM c/ As,ato","NÃO"))</f>
        <v/>
      </c>
      <c r="Q16" s="66">
        <f>Dados!$C$42</f>
        <v/>
      </c>
    </row>
    <row r="17" ht="15" customHeight="1" s="47">
      <c r="A17" s="63">
        <f>Tracado_Perdas!B17</f>
        <v/>
      </c>
      <c r="B17" s="66">
        <f>Tracado_Perdas!D17</f>
        <v/>
      </c>
      <c r="C17" s="66">
        <f>B17-Hiperestatico!H17/Tensoes!D17</f>
        <v/>
      </c>
      <c r="D17" s="66">
        <f>(Esforcos!D17-Dados!$C$26*1000*Dados!$C$10)/Tensoes!C17-Dados!$C$11</f>
        <v/>
      </c>
      <c r="E17" s="66">
        <f>(Esforcos!D17-Dados!$C$27*1000*Dados!$C$10)/Tensoes!C17+Dados!$C$11</f>
        <v/>
      </c>
      <c r="F17" s="66">
        <f>Esforcos!H17/Tensoes!D17-Dados!$C$11</f>
        <v/>
      </c>
      <c r="G17" s="66">
        <f>(Esforcos!J17-Dados!$C$25*1000*Dados!$C$10)/Tensoes!D17-Dados!$C$11</f>
        <v/>
      </c>
      <c r="H17" s="66">
        <f>(Esforcos!J17-Dados!$C$28*1000*Dados!$C$10)/Tensoes!D17+Dados!$C$11</f>
        <v/>
      </c>
      <c r="I17" s="66">
        <f>(Esforcos!D17+Dados!$C$27*1000*Dados!$C$10)/Tensoes!C17-Dados!$C$11</f>
        <v/>
      </c>
      <c r="J17" s="66">
        <f>(Esforcos!D17+Dados!$C$26*1000*Dados!$C$10)/Tensoes!C17+Dados!$C$11</f>
        <v/>
      </c>
      <c r="K17" s="66">
        <f>Esforcos!I17/Tensoes!D17+Dados!$C$11</f>
        <v/>
      </c>
      <c r="L17" s="66">
        <f>(Dados!$C$25*1000*Dados!$C$10+Esforcos!K17)/Tensoes!D17+Dados!$C$11</f>
        <v/>
      </c>
      <c r="M17" s="66">
        <f>(Esforcos!K17+Dados!$C$28*1000*Dados!$C$10)/Tensoes!D17-Dados!$C$11</f>
        <v/>
      </c>
      <c r="N17" s="66">
        <f>MAX(D17:H17)</f>
        <v/>
      </c>
      <c r="O17" s="66">
        <f>MIN(I17:M17)</f>
        <v/>
      </c>
      <c r="P17" s="71">
        <f>IF(AND(C17&gt;=N17,C17&lt;=O17),"SIM",IF(AND(C17&gt;=MAX(F17:H17),C17&lt;=MIN(K17:M17)),"SIM c/ As,ato","NÃO"))</f>
        <v/>
      </c>
      <c r="Q17" s="66">
        <f>Dados!$C$42</f>
        <v/>
      </c>
    </row>
    <row r="18" ht="15" customHeight="1" s="47">
      <c r="A18" s="63">
        <f>Tracado_Perdas!B18</f>
        <v/>
      </c>
      <c r="B18" s="66">
        <f>Tracado_Perdas!D18</f>
        <v/>
      </c>
      <c r="C18" s="66">
        <f>B18-Hiperestatico!H18/Tensoes!D18</f>
        <v/>
      </c>
      <c r="D18" s="66">
        <f>(Esforcos!D18-Dados!$C$26*1000*Dados!$C$10)/Tensoes!C18-Dados!$C$11</f>
        <v/>
      </c>
      <c r="E18" s="66">
        <f>(Esforcos!D18-Dados!$C$27*1000*Dados!$C$10)/Tensoes!C18+Dados!$C$11</f>
        <v/>
      </c>
      <c r="F18" s="66">
        <f>Esforcos!H18/Tensoes!D18-Dados!$C$11</f>
        <v/>
      </c>
      <c r="G18" s="66">
        <f>(Esforcos!J18-Dados!$C$25*1000*Dados!$C$10)/Tensoes!D18-Dados!$C$11</f>
        <v/>
      </c>
      <c r="H18" s="66">
        <f>(Esforcos!J18-Dados!$C$28*1000*Dados!$C$10)/Tensoes!D18+Dados!$C$11</f>
        <v/>
      </c>
      <c r="I18" s="66">
        <f>(Esforcos!D18+Dados!$C$27*1000*Dados!$C$10)/Tensoes!C18-Dados!$C$11</f>
        <v/>
      </c>
      <c r="J18" s="66">
        <f>(Esforcos!D18+Dados!$C$26*1000*Dados!$C$10)/Tensoes!C18+Dados!$C$11</f>
        <v/>
      </c>
      <c r="K18" s="66">
        <f>Esforcos!I18/Tensoes!D18+Dados!$C$11</f>
        <v/>
      </c>
      <c r="L18" s="66">
        <f>(Dados!$C$25*1000*Dados!$C$10+Esforcos!K18)/Tensoes!D18+Dados!$C$11</f>
        <v/>
      </c>
      <c r="M18" s="66">
        <f>(Esforcos!K18+Dados!$C$28*1000*Dados!$C$10)/Tensoes!D18-Dados!$C$11</f>
        <v/>
      </c>
      <c r="N18" s="66">
        <f>MAX(D18:H18)</f>
        <v/>
      </c>
      <c r="O18" s="66">
        <f>MIN(I18:M18)</f>
        <v/>
      </c>
      <c r="P18" s="71">
        <f>IF(AND(C18&gt;=N18,C18&lt;=O18),"SIM",IF(AND(C18&gt;=MAX(F18:H18),C18&lt;=MIN(K18:M18)),"SIM c/ As,ato","NÃO"))</f>
        <v/>
      </c>
      <c r="Q18" s="66">
        <f>Dados!$C$42</f>
        <v/>
      </c>
    </row>
    <row r="19" ht="15" customHeight="1" s="47">
      <c r="A19" s="63">
        <f>Tracado_Perdas!B19</f>
        <v/>
      </c>
      <c r="B19" s="66">
        <f>Tracado_Perdas!D19</f>
        <v/>
      </c>
      <c r="C19" s="66">
        <f>B19-Hiperestatico!H19/Tensoes!D19</f>
        <v/>
      </c>
      <c r="D19" s="66">
        <f>(Esforcos!D19-Dados!$C$26*1000*Dados!$C$10)/Tensoes!C19-Dados!$C$11</f>
        <v/>
      </c>
      <c r="E19" s="66">
        <f>(Esforcos!D19-Dados!$C$27*1000*Dados!$C$10)/Tensoes!C19+Dados!$C$11</f>
        <v/>
      </c>
      <c r="F19" s="66">
        <f>Esforcos!H19/Tensoes!D19-Dados!$C$11</f>
        <v/>
      </c>
      <c r="G19" s="66">
        <f>(Esforcos!J19-Dados!$C$25*1000*Dados!$C$10)/Tensoes!D19-Dados!$C$11</f>
        <v/>
      </c>
      <c r="H19" s="66">
        <f>(Esforcos!J19-Dados!$C$28*1000*Dados!$C$10)/Tensoes!D19+Dados!$C$11</f>
        <v/>
      </c>
      <c r="I19" s="66">
        <f>(Esforcos!D19+Dados!$C$27*1000*Dados!$C$10)/Tensoes!C19-Dados!$C$11</f>
        <v/>
      </c>
      <c r="J19" s="66">
        <f>(Esforcos!D19+Dados!$C$26*1000*Dados!$C$10)/Tensoes!C19+Dados!$C$11</f>
        <v/>
      </c>
      <c r="K19" s="66">
        <f>Esforcos!I19/Tensoes!D19+Dados!$C$11</f>
        <v/>
      </c>
      <c r="L19" s="66">
        <f>(Dados!$C$25*1000*Dados!$C$10+Esforcos!K19)/Tensoes!D19+Dados!$C$11</f>
        <v/>
      </c>
      <c r="M19" s="66">
        <f>(Esforcos!K19+Dados!$C$28*1000*Dados!$C$10)/Tensoes!D19-Dados!$C$11</f>
        <v/>
      </c>
      <c r="N19" s="66">
        <f>MAX(D19:H19)</f>
        <v/>
      </c>
      <c r="O19" s="66">
        <f>MIN(I19:M19)</f>
        <v/>
      </c>
      <c r="P19" s="71">
        <f>IF(AND(C19&gt;=N19,C19&lt;=O19),"SIM",IF(AND(C19&gt;=MAX(F19:H19),C19&lt;=MIN(K19:M19)),"SIM c/ As,ato","NÃO"))</f>
        <v/>
      </c>
      <c r="Q19" s="66">
        <f>Dados!$C$42</f>
        <v/>
      </c>
    </row>
    <row r="20" ht="15" customHeight="1" s="47">
      <c r="A20" s="63">
        <f>Tracado_Perdas!B20</f>
        <v/>
      </c>
      <c r="B20" s="66">
        <f>Tracado_Perdas!D20</f>
        <v/>
      </c>
      <c r="C20" s="66">
        <f>B20-Hiperestatico!H20/Tensoes!D20</f>
        <v/>
      </c>
      <c r="D20" s="66">
        <f>(Esforcos!D20-Dados!$C$26*1000*Dados!$C$10)/Tensoes!C20-Dados!$C$11</f>
        <v/>
      </c>
      <c r="E20" s="66">
        <f>(Esforcos!D20-Dados!$C$27*1000*Dados!$C$10)/Tensoes!C20+Dados!$C$11</f>
        <v/>
      </c>
      <c r="F20" s="66">
        <f>Esforcos!H20/Tensoes!D20-Dados!$C$11</f>
        <v/>
      </c>
      <c r="G20" s="66">
        <f>(Esforcos!J20-Dados!$C$25*1000*Dados!$C$10)/Tensoes!D20-Dados!$C$11</f>
        <v/>
      </c>
      <c r="H20" s="66">
        <f>(Esforcos!J20-Dados!$C$28*1000*Dados!$C$10)/Tensoes!D20+Dados!$C$11</f>
        <v/>
      </c>
      <c r="I20" s="66">
        <f>(Esforcos!D20+Dados!$C$27*1000*Dados!$C$10)/Tensoes!C20-Dados!$C$11</f>
        <v/>
      </c>
      <c r="J20" s="66">
        <f>(Esforcos!D20+Dados!$C$26*1000*Dados!$C$10)/Tensoes!C20+Dados!$C$11</f>
        <v/>
      </c>
      <c r="K20" s="66">
        <f>Esforcos!I20/Tensoes!D20+Dados!$C$11</f>
        <v/>
      </c>
      <c r="L20" s="66">
        <f>(Dados!$C$25*1000*Dados!$C$10+Esforcos!K20)/Tensoes!D20+Dados!$C$11</f>
        <v/>
      </c>
      <c r="M20" s="66">
        <f>(Esforcos!K20+Dados!$C$28*1000*Dados!$C$10)/Tensoes!D20-Dados!$C$11</f>
        <v/>
      </c>
      <c r="N20" s="66">
        <f>MAX(D20:H20)</f>
        <v/>
      </c>
      <c r="O20" s="66">
        <f>MIN(I20:M20)</f>
        <v/>
      </c>
      <c r="P20" s="71">
        <f>IF(AND(C20&gt;=N20,C20&lt;=O20),"SIM",IF(AND(C20&gt;=MAX(F20:H20),C20&lt;=MIN(K20:M20)),"SIM c/ As,ato","NÃO"))</f>
        <v/>
      </c>
      <c r="Q20" s="66">
        <f>Dados!$C$42</f>
        <v/>
      </c>
    </row>
    <row r="21" ht="15" customHeight="1" s="47">
      <c r="A21" s="63">
        <f>Tracado_Perdas!B21</f>
        <v/>
      </c>
      <c r="B21" s="66">
        <f>Tracado_Perdas!D21</f>
        <v/>
      </c>
      <c r="C21" s="66">
        <f>B21-Hiperestatico!H21/Tensoes!D21</f>
        <v/>
      </c>
      <c r="D21" s="66">
        <f>(Esforcos!D21-Dados!$C$26*1000*Dados!$C$10)/Tensoes!C21-Dados!$C$11</f>
        <v/>
      </c>
      <c r="E21" s="66">
        <f>(Esforcos!D21-Dados!$C$27*1000*Dados!$C$10)/Tensoes!C21+Dados!$C$11</f>
        <v/>
      </c>
      <c r="F21" s="66">
        <f>Esforcos!H21/Tensoes!D21-Dados!$C$11</f>
        <v/>
      </c>
      <c r="G21" s="66">
        <f>(Esforcos!J21-Dados!$C$25*1000*Dados!$C$10)/Tensoes!D21-Dados!$C$11</f>
        <v/>
      </c>
      <c r="H21" s="66">
        <f>(Esforcos!J21-Dados!$C$28*1000*Dados!$C$10)/Tensoes!D21+Dados!$C$11</f>
        <v/>
      </c>
      <c r="I21" s="66">
        <f>(Esforcos!D21+Dados!$C$27*1000*Dados!$C$10)/Tensoes!C21-Dados!$C$11</f>
        <v/>
      </c>
      <c r="J21" s="66">
        <f>(Esforcos!D21+Dados!$C$26*1000*Dados!$C$10)/Tensoes!C21+Dados!$C$11</f>
        <v/>
      </c>
      <c r="K21" s="66">
        <f>Esforcos!I21/Tensoes!D21+Dados!$C$11</f>
        <v/>
      </c>
      <c r="L21" s="66">
        <f>(Dados!$C$25*1000*Dados!$C$10+Esforcos!K21)/Tensoes!D21+Dados!$C$11</f>
        <v/>
      </c>
      <c r="M21" s="66">
        <f>(Esforcos!K21+Dados!$C$28*1000*Dados!$C$10)/Tensoes!D21-Dados!$C$11</f>
        <v/>
      </c>
      <c r="N21" s="66">
        <f>MAX(D21:H21)</f>
        <v/>
      </c>
      <c r="O21" s="66">
        <f>MIN(I21:M21)</f>
        <v/>
      </c>
      <c r="P21" s="71">
        <f>IF(AND(C21&gt;=N21,C21&lt;=O21),"SIM",IF(AND(C21&gt;=MAX(F21:H21),C21&lt;=MIN(K21:M21)),"SIM c/ As,ato","NÃO"))</f>
        <v/>
      </c>
      <c r="Q21" s="66">
        <f>Dados!$C$42</f>
        <v/>
      </c>
    </row>
    <row r="22" ht="15" customHeight="1" s="47">
      <c r="A22" s="63">
        <f>Tracado_Perdas!B22</f>
        <v/>
      </c>
      <c r="B22" s="66">
        <f>Tracado_Perdas!D22</f>
        <v/>
      </c>
      <c r="C22" s="66">
        <f>B22-Hiperestatico!H22/Tensoes!D22</f>
        <v/>
      </c>
      <c r="D22" s="66">
        <f>(Esforcos!D22-Dados!$C$26*1000*Dados!$C$10)/Tensoes!C22-Dados!$C$11</f>
        <v/>
      </c>
      <c r="E22" s="66">
        <f>(Esforcos!D22-Dados!$C$27*1000*Dados!$C$10)/Tensoes!C22+Dados!$C$11</f>
        <v/>
      </c>
      <c r="F22" s="66">
        <f>Esforcos!H22/Tensoes!D22-Dados!$C$11</f>
        <v/>
      </c>
      <c r="G22" s="66">
        <f>(Esforcos!J22-Dados!$C$25*1000*Dados!$C$10)/Tensoes!D22-Dados!$C$11</f>
        <v/>
      </c>
      <c r="H22" s="66">
        <f>(Esforcos!J22-Dados!$C$28*1000*Dados!$C$10)/Tensoes!D22+Dados!$C$11</f>
        <v/>
      </c>
      <c r="I22" s="66">
        <f>(Esforcos!D22+Dados!$C$27*1000*Dados!$C$10)/Tensoes!C22-Dados!$C$11</f>
        <v/>
      </c>
      <c r="J22" s="66">
        <f>(Esforcos!D22+Dados!$C$26*1000*Dados!$C$10)/Tensoes!C22+Dados!$C$11</f>
        <v/>
      </c>
      <c r="K22" s="66">
        <f>Esforcos!I22/Tensoes!D22+Dados!$C$11</f>
        <v/>
      </c>
      <c r="L22" s="66">
        <f>(Dados!$C$25*1000*Dados!$C$10+Esforcos!K22)/Tensoes!D22+Dados!$C$11</f>
        <v/>
      </c>
      <c r="M22" s="66">
        <f>(Esforcos!K22+Dados!$C$28*1000*Dados!$C$10)/Tensoes!D22-Dados!$C$11</f>
        <v/>
      </c>
      <c r="N22" s="66">
        <f>MAX(D22:H22)</f>
        <v/>
      </c>
      <c r="O22" s="66">
        <f>MIN(I22:M22)</f>
        <v/>
      </c>
      <c r="P22" s="71">
        <f>IF(AND(C22&gt;=N22,C22&lt;=O22),"SIM",IF(AND(C22&gt;=MAX(F22:H22),C22&lt;=MIN(K22:M22)),"SIM c/ As,ato","NÃO"))</f>
        <v/>
      </c>
      <c r="Q22" s="66">
        <f>Dados!$C$42</f>
        <v/>
      </c>
    </row>
    <row r="23" ht="15" customHeight="1" s="47">
      <c r="A23" s="63">
        <f>Tracado_Perdas!B23</f>
        <v/>
      </c>
      <c r="B23" s="66">
        <f>Tracado_Perdas!D23</f>
        <v/>
      </c>
      <c r="C23" s="66">
        <f>B23-Hiperestatico!H23/Tensoes!D23</f>
        <v/>
      </c>
      <c r="D23" s="66">
        <f>(Esforcos!D23-Dados!$C$26*1000*Dados!$C$10)/Tensoes!C23-Dados!$C$11</f>
        <v/>
      </c>
      <c r="E23" s="66">
        <f>(Esforcos!D23-Dados!$C$27*1000*Dados!$C$10)/Tensoes!C23+Dados!$C$11</f>
        <v/>
      </c>
      <c r="F23" s="66">
        <f>Esforcos!H23/Tensoes!D23-Dados!$C$11</f>
        <v/>
      </c>
      <c r="G23" s="66">
        <f>(Esforcos!J23-Dados!$C$25*1000*Dados!$C$10)/Tensoes!D23-Dados!$C$11</f>
        <v/>
      </c>
      <c r="H23" s="66">
        <f>(Esforcos!J23-Dados!$C$28*1000*Dados!$C$10)/Tensoes!D23+Dados!$C$11</f>
        <v/>
      </c>
      <c r="I23" s="66">
        <f>(Esforcos!D23+Dados!$C$27*1000*Dados!$C$10)/Tensoes!C23-Dados!$C$11</f>
        <v/>
      </c>
      <c r="J23" s="66">
        <f>(Esforcos!D23+Dados!$C$26*1000*Dados!$C$10)/Tensoes!C23+Dados!$C$11</f>
        <v/>
      </c>
      <c r="K23" s="66">
        <f>Esforcos!I23/Tensoes!D23+Dados!$C$11</f>
        <v/>
      </c>
      <c r="L23" s="66">
        <f>(Dados!$C$25*1000*Dados!$C$10+Esforcos!K23)/Tensoes!D23+Dados!$C$11</f>
        <v/>
      </c>
      <c r="M23" s="66">
        <f>(Esforcos!K23+Dados!$C$28*1000*Dados!$C$10)/Tensoes!D23-Dados!$C$11</f>
        <v/>
      </c>
      <c r="N23" s="66">
        <f>MAX(D23:H23)</f>
        <v/>
      </c>
      <c r="O23" s="66">
        <f>MIN(I23:M23)</f>
        <v/>
      </c>
      <c r="P23" s="71">
        <f>IF(AND(C23&gt;=N23,C23&lt;=O23),"SIM",IF(AND(C23&gt;=MAX(F23:H23),C23&lt;=MIN(K23:M23)),"SIM c/ As,ato","NÃO"))</f>
        <v/>
      </c>
      <c r="Q23" s="66">
        <f>Dados!$C$42</f>
        <v/>
      </c>
    </row>
    <row r="24" ht="15" customHeight="1" s="47">
      <c r="A24" s="63">
        <f>Tracado_Perdas!B24</f>
        <v/>
      </c>
      <c r="B24" s="66">
        <f>Tracado_Perdas!D24</f>
        <v/>
      </c>
      <c r="C24" s="66">
        <f>B24-Hiperestatico!H24/Tensoes!D24</f>
        <v/>
      </c>
      <c r="D24" s="66">
        <f>(Esforcos!D24-Dados!$C$26*1000*Dados!$C$10)/Tensoes!C24-Dados!$C$11</f>
        <v/>
      </c>
      <c r="E24" s="66">
        <f>(Esforcos!D24-Dados!$C$27*1000*Dados!$C$10)/Tensoes!C24+Dados!$C$11</f>
        <v/>
      </c>
      <c r="F24" s="66">
        <f>Esforcos!H24/Tensoes!D24-Dados!$C$11</f>
        <v/>
      </c>
      <c r="G24" s="66">
        <f>(Esforcos!J24-Dados!$C$25*1000*Dados!$C$10)/Tensoes!D24-Dados!$C$11</f>
        <v/>
      </c>
      <c r="H24" s="66">
        <f>(Esforcos!J24-Dados!$C$28*1000*Dados!$C$10)/Tensoes!D24+Dados!$C$11</f>
        <v/>
      </c>
      <c r="I24" s="66">
        <f>(Esforcos!D24+Dados!$C$27*1000*Dados!$C$10)/Tensoes!C24-Dados!$C$11</f>
        <v/>
      </c>
      <c r="J24" s="66">
        <f>(Esforcos!D24+Dados!$C$26*1000*Dados!$C$10)/Tensoes!C24+Dados!$C$11</f>
        <v/>
      </c>
      <c r="K24" s="66">
        <f>Esforcos!I24/Tensoes!D24+Dados!$C$11</f>
        <v/>
      </c>
      <c r="L24" s="66">
        <f>(Dados!$C$25*1000*Dados!$C$10+Esforcos!K24)/Tensoes!D24+Dados!$C$11</f>
        <v/>
      </c>
      <c r="M24" s="66">
        <f>(Esforcos!K24+Dados!$C$28*1000*Dados!$C$10)/Tensoes!D24-Dados!$C$11</f>
        <v/>
      </c>
      <c r="N24" s="66">
        <f>MAX(D24:H24)</f>
        <v/>
      </c>
      <c r="O24" s="66">
        <f>MIN(I24:M24)</f>
        <v/>
      </c>
      <c r="P24" s="71">
        <f>IF(AND(C24&gt;=N24,C24&lt;=O24),"SIM",IF(AND(C24&gt;=MAX(F24:H24),C24&lt;=MIN(K24:M24)),"SIM c/ As,ato","NÃO"))</f>
        <v/>
      </c>
      <c r="Q24" s="66">
        <f>Dados!$C$42</f>
        <v/>
      </c>
    </row>
    <row r="25" ht="15" customHeight="1" s="47">
      <c r="A25" s="63">
        <f>Tracado_Perdas!B25</f>
        <v/>
      </c>
      <c r="B25" s="66">
        <f>Tracado_Perdas!D25</f>
        <v/>
      </c>
      <c r="C25" s="66">
        <f>B25-Hiperestatico!H25/Tensoes!D25</f>
        <v/>
      </c>
      <c r="D25" s="66">
        <f>(Esforcos!D25-Dados!$C$26*1000*Dados!$C$10)/Tensoes!C25-Dados!$C$11</f>
        <v/>
      </c>
      <c r="E25" s="66">
        <f>(Esforcos!D25-Dados!$C$27*1000*Dados!$C$10)/Tensoes!C25+Dados!$C$11</f>
        <v/>
      </c>
      <c r="F25" s="66">
        <f>Esforcos!H25/Tensoes!D25-Dados!$C$11</f>
        <v/>
      </c>
      <c r="G25" s="66">
        <f>(Esforcos!J25-Dados!$C$25*1000*Dados!$C$10)/Tensoes!D25-Dados!$C$11</f>
        <v/>
      </c>
      <c r="H25" s="66">
        <f>(Esforcos!J25-Dados!$C$28*1000*Dados!$C$10)/Tensoes!D25+Dados!$C$11</f>
        <v/>
      </c>
      <c r="I25" s="66">
        <f>(Esforcos!D25+Dados!$C$27*1000*Dados!$C$10)/Tensoes!C25-Dados!$C$11</f>
        <v/>
      </c>
      <c r="J25" s="66">
        <f>(Esforcos!D25+Dados!$C$26*1000*Dados!$C$10)/Tensoes!C25+Dados!$C$11</f>
        <v/>
      </c>
      <c r="K25" s="66">
        <f>Esforcos!I25/Tensoes!D25+Dados!$C$11</f>
        <v/>
      </c>
      <c r="L25" s="66">
        <f>(Dados!$C$25*1000*Dados!$C$10+Esforcos!K25)/Tensoes!D25+Dados!$C$11</f>
        <v/>
      </c>
      <c r="M25" s="66">
        <f>(Esforcos!K25+Dados!$C$28*1000*Dados!$C$10)/Tensoes!D25-Dados!$C$11</f>
        <v/>
      </c>
      <c r="N25" s="66">
        <f>MAX(D25:H25)</f>
        <v/>
      </c>
      <c r="O25" s="66">
        <f>MIN(I25:M25)</f>
        <v/>
      </c>
      <c r="P25" s="71">
        <f>IF(AND(C25&gt;=N25,C25&lt;=O25),"SIM",IF(AND(C25&gt;=MAX(F25:H25),C25&lt;=MIN(K25:M25)),"SIM c/ As,ato","NÃO"))</f>
        <v/>
      </c>
      <c r="Q25" s="66">
        <f>Dados!$C$42</f>
        <v/>
      </c>
    </row>
    <row r="26" ht="15" customHeight="1" s="47">
      <c r="A26" s="63">
        <f>Tracado_Perdas!B26</f>
        <v/>
      </c>
      <c r="B26" s="66">
        <f>Tracado_Perdas!D26</f>
        <v/>
      </c>
      <c r="C26" s="66">
        <f>B26-Hiperestatico!H26/Tensoes!D26</f>
        <v/>
      </c>
      <c r="D26" s="66">
        <f>(Esforcos!D26-Dados!$C$26*1000*Dados!$C$10)/Tensoes!C26-Dados!$C$11</f>
        <v/>
      </c>
      <c r="E26" s="66">
        <f>(Esforcos!D26-Dados!$C$27*1000*Dados!$C$10)/Tensoes!C26+Dados!$C$11</f>
        <v/>
      </c>
      <c r="F26" s="66">
        <f>Esforcos!H26/Tensoes!D26-Dados!$C$11</f>
        <v/>
      </c>
      <c r="G26" s="66">
        <f>(Esforcos!J26-Dados!$C$25*1000*Dados!$C$10)/Tensoes!D26-Dados!$C$11</f>
        <v/>
      </c>
      <c r="H26" s="66">
        <f>(Esforcos!J26-Dados!$C$28*1000*Dados!$C$10)/Tensoes!D26+Dados!$C$11</f>
        <v/>
      </c>
      <c r="I26" s="66">
        <f>(Esforcos!D26+Dados!$C$27*1000*Dados!$C$10)/Tensoes!C26-Dados!$C$11</f>
        <v/>
      </c>
      <c r="J26" s="66">
        <f>(Esforcos!D26+Dados!$C$26*1000*Dados!$C$10)/Tensoes!C26+Dados!$C$11</f>
        <v/>
      </c>
      <c r="K26" s="66">
        <f>Esforcos!I26/Tensoes!D26+Dados!$C$11</f>
        <v/>
      </c>
      <c r="L26" s="66">
        <f>(Dados!$C$25*1000*Dados!$C$10+Esforcos!K26)/Tensoes!D26+Dados!$C$11</f>
        <v/>
      </c>
      <c r="M26" s="66">
        <f>(Esforcos!K26+Dados!$C$28*1000*Dados!$C$10)/Tensoes!D26-Dados!$C$11</f>
        <v/>
      </c>
      <c r="N26" s="66">
        <f>MAX(D26:H26)</f>
        <v/>
      </c>
      <c r="O26" s="66">
        <f>MIN(I26:M26)</f>
        <v/>
      </c>
      <c r="P26" s="71">
        <f>IF(AND(C26&gt;=N26,C26&lt;=O26),"SIM",IF(AND(C26&gt;=MAX(F26:H26),C26&lt;=MIN(K26:M26)),"SIM c/ As,ato","NÃO"))</f>
        <v/>
      </c>
      <c r="Q26" s="66">
        <f>Dados!$C$42</f>
        <v/>
      </c>
    </row>
    <row r="27" ht="15" customHeight="1" s="47">
      <c r="A27" s="63">
        <f>Tracado_Perdas!B27</f>
        <v/>
      </c>
      <c r="B27" s="66">
        <f>Tracado_Perdas!D27</f>
        <v/>
      </c>
      <c r="C27" s="66">
        <f>B27-Hiperestatico!H27/Tensoes!D27</f>
        <v/>
      </c>
      <c r="D27" s="66">
        <f>(Esforcos!D27-Dados!$C$26*1000*Dados!$C$10)/Tensoes!C27-Dados!$C$11</f>
        <v/>
      </c>
      <c r="E27" s="66">
        <f>(Esforcos!D27-Dados!$C$27*1000*Dados!$C$10)/Tensoes!C27+Dados!$C$11</f>
        <v/>
      </c>
      <c r="F27" s="66">
        <f>Esforcos!H27/Tensoes!D27-Dados!$C$11</f>
        <v/>
      </c>
      <c r="G27" s="66">
        <f>(Esforcos!J27-Dados!$C$25*1000*Dados!$C$10)/Tensoes!D27-Dados!$C$11</f>
        <v/>
      </c>
      <c r="H27" s="66">
        <f>(Esforcos!J27-Dados!$C$28*1000*Dados!$C$10)/Tensoes!D27+Dados!$C$11</f>
        <v/>
      </c>
      <c r="I27" s="66">
        <f>(Esforcos!D27+Dados!$C$27*1000*Dados!$C$10)/Tensoes!C27-Dados!$C$11</f>
        <v/>
      </c>
      <c r="J27" s="66">
        <f>(Esforcos!D27+Dados!$C$26*1000*Dados!$C$10)/Tensoes!C27+Dados!$C$11</f>
        <v/>
      </c>
      <c r="K27" s="66">
        <f>Esforcos!I27/Tensoes!D27+Dados!$C$11</f>
        <v/>
      </c>
      <c r="L27" s="66">
        <f>(Dados!$C$25*1000*Dados!$C$10+Esforcos!K27)/Tensoes!D27+Dados!$C$11</f>
        <v/>
      </c>
      <c r="M27" s="66">
        <f>(Esforcos!K27+Dados!$C$28*1000*Dados!$C$10)/Tensoes!D27-Dados!$C$11</f>
        <v/>
      </c>
      <c r="N27" s="66">
        <f>MAX(D27:H27)</f>
        <v/>
      </c>
      <c r="O27" s="66">
        <f>MIN(I27:M27)</f>
        <v/>
      </c>
      <c r="P27" s="71">
        <f>IF(AND(C27&gt;=N27,C27&lt;=O27),"SIM",IF(AND(C27&gt;=MAX(F27:H27),C27&lt;=MIN(K27:M27)),"SIM c/ As,ato","NÃO"))</f>
        <v/>
      </c>
      <c r="Q27" s="66">
        <f>Dados!$C$42</f>
        <v/>
      </c>
    </row>
    <row r="28" ht="15" customHeight="1" s="47">
      <c r="A28" s="63">
        <f>Tracado_Perdas!B28</f>
        <v/>
      </c>
      <c r="B28" s="66">
        <f>Tracado_Perdas!D28</f>
        <v/>
      </c>
      <c r="C28" s="66">
        <f>B28-Hiperestatico!H28/Tensoes!D28</f>
        <v/>
      </c>
      <c r="D28" s="66">
        <f>(Esforcos!D28-Dados!$C$26*1000*Dados!$C$10)/Tensoes!C28-Dados!$C$11</f>
        <v/>
      </c>
      <c r="E28" s="66">
        <f>(Esforcos!D28-Dados!$C$27*1000*Dados!$C$10)/Tensoes!C28+Dados!$C$11</f>
        <v/>
      </c>
      <c r="F28" s="66">
        <f>Esforcos!H28/Tensoes!D28-Dados!$C$11</f>
        <v/>
      </c>
      <c r="G28" s="66">
        <f>(Esforcos!J28-Dados!$C$25*1000*Dados!$C$10)/Tensoes!D28-Dados!$C$11</f>
        <v/>
      </c>
      <c r="H28" s="66">
        <f>(Esforcos!J28-Dados!$C$28*1000*Dados!$C$10)/Tensoes!D28+Dados!$C$11</f>
        <v/>
      </c>
      <c r="I28" s="66">
        <f>(Esforcos!D28+Dados!$C$27*1000*Dados!$C$10)/Tensoes!C28-Dados!$C$11</f>
        <v/>
      </c>
      <c r="J28" s="66">
        <f>(Esforcos!D28+Dados!$C$26*1000*Dados!$C$10)/Tensoes!C28+Dados!$C$11</f>
        <v/>
      </c>
      <c r="K28" s="66">
        <f>Esforcos!I28/Tensoes!D28+Dados!$C$11</f>
        <v/>
      </c>
      <c r="L28" s="66">
        <f>(Dados!$C$25*1000*Dados!$C$10+Esforcos!K28)/Tensoes!D28+Dados!$C$11</f>
        <v/>
      </c>
      <c r="M28" s="66">
        <f>(Esforcos!K28+Dados!$C$28*1000*Dados!$C$10)/Tensoes!D28-Dados!$C$11</f>
        <v/>
      </c>
      <c r="N28" s="66">
        <f>MAX(D28:H28)</f>
        <v/>
      </c>
      <c r="O28" s="66">
        <f>MIN(I28:M28)</f>
        <v/>
      </c>
      <c r="P28" s="71">
        <f>IF(AND(C28&gt;=N28,C28&lt;=O28),"SIM",IF(AND(C28&gt;=MAX(F28:H28),C28&lt;=MIN(K28:M28)),"SIM c/ As,ato","NÃO"))</f>
        <v/>
      </c>
      <c r="Q28" s="66">
        <f>Dados!$C$42</f>
        <v/>
      </c>
    </row>
    <row r="29" ht="15" customHeight="1" s="47">
      <c r="A29" s="63">
        <f>Tracado_Perdas!B29</f>
        <v/>
      </c>
      <c r="B29" s="66">
        <f>Tracado_Perdas!D29</f>
        <v/>
      </c>
      <c r="C29" s="66">
        <f>B29-Hiperestatico!H29/Tensoes!D29</f>
        <v/>
      </c>
      <c r="D29" s="66">
        <f>(Esforcos!D29-Dados!$C$26*1000*Dados!$C$10)/Tensoes!C29-Dados!$C$11</f>
        <v/>
      </c>
      <c r="E29" s="66">
        <f>(Esforcos!D29-Dados!$C$27*1000*Dados!$C$10)/Tensoes!C29+Dados!$C$11</f>
        <v/>
      </c>
      <c r="F29" s="66">
        <f>Esforcos!H29/Tensoes!D29-Dados!$C$11</f>
        <v/>
      </c>
      <c r="G29" s="66">
        <f>(Esforcos!J29-Dados!$C$25*1000*Dados!$C$10)/Tensoes!D29-Dados!$C$11</f>
        <v/>
      </c>
      <c r="H29" s="66">
        <f>(Esforcos!J29-Dados!$C$28*1000*Dados!$C$10)/Tensoes!D29+Dados!$C$11</f>
        <v/>
      </c>
      <c r="I29" s="66">
        <f>(Esforcos!D29+Dados!$C$27*1000*Dados!$C$10)/Tensoes!C29-Dados!$C$11</f>
        <v/>
      </c>
      <c r="J29" s="66">
        <f>(Esforcos!D29+Dados!$C$26*1000*Dados!$C$10)/Tensoes!C29+Dados!$C$11</f>
        <v/>
      </c>
      <c r="K29" s="66">
        <f>Esforcos!I29/Tensoes!D29+Dados!$C$11</f>
        <v/>
      </c>
      <c r="L29" s="66">
        <f>(Dados!$C$25*1000*Dados!$C$10+Esforcos!K29)/Tensoes!D29+Dados!$C$11</f>
        <v/>
      </c>
      <c r="M29" s="66">
        <f>(Esforcos!K29+Dados!$C$28*1000*Dados!$C$10)/Tensoes!D29-Dados!$C$11</f>
        <v/>
      </c>
      <c r="N29" s="66">
        <f>MAX(D29:H29)</f>
        <v/>
      </c>
      <c r="O29" s="66">
        <f>MIN(I29:M29)</f>
        <v/>
      </c>
      <c r="P29" s="71">
        <f>IF(AND(C29&gt;=N29,C29&lt;=O29),"SIM",IF(AND(C29&gt;=MAX(F29:H29),C29&lt;=MIN(K29:M29)),"SIM c/ As,ato","NÃO"))</f>
        <v/>
      </c>
      <c r="Q29" s="66">
        <f>Dados!$C$42</f>
        <v/>
      </c>
    </row>
    <row r="30" ht="15" customHeight="1" s="47">
      <c r="A30" s="63">
        <f>Tracado_Perdas!B30</f>
        <v/>
      </c>
      <c r="B30" s="66">
        <f>Tracado_Perdas!D30</f>
        <v/>
      </c>
      <c r="C30" s="66">
        <f>B30-Hiperestatico!H30/Tensoes!D30</f>
        <v/>
      </c>
      <c r="D30" s="66">
        <f>(Esforcos!D30-Dados!$C$26*1000*Dados!$C$10)/Tensoes!C30-Dados!$C$11</f>
        <v/>
      </c>
      <c r="E30" s="66">
        <f>(Esforcos!D30-Dados!$C$27*1000*Dados!$C$10)/Tensoes!C30+Dados!$C$11</f>
        <v/>
      </c>
      <c r="F30" s="66">
        <f>Esforcos!H30/Tensoes!D30-Dados!$C$11</f>
        <v/>
      </c>
      <c r="G30" s="66">
        <f>(Esforcos!J30-Dados!$C$25*1000*Dados!$C$10)/Tensoes!D30-Dados!$C$11</f>
        <v/>
      </c>
      <c r="H30" s="66">
        <f>(Esforcos!J30-Dados!$C$28*1000*Dados!$C$10)/Tensoes!D30+Dados!$C$11</f>
        <v/>
      </c>
      <c r="I30" s="66">
        <f>(Esforcos!D30+Dados!$C$27*1000*Dados!$C$10)/Tensoes!C30-Dados!$C$11</f>
        <v/>
      </c>
      <c r="J30" s="66">
        <f>(Esforcos!D30+Dados!$C$26*1000*Dados!$C$10)/Tensoes!C30+Dados!$C$11</f>
        <v/>
      </c>
      <c r="K30" s="66">
        <f>Esforcos!I30/Tensoes!D30+Dados!$C$11</f>
        <v/>
      </c>
      <c r="L30" s="66">
        <f>(Dados!$C$25*1000*Dados!$C$10+Esforcos!K30)/Tensoes!D30+Dados!$C$11</f>
        <v/>
      </c>
      <c r="M30" s="66">
        <f>(Esforcos!K30+Dados!$C$28*1000*Dados!$C$10)/Tensoes!D30-Dados!$C$11</f>
        <v/>
      </c>
      <c r="N30" s="66">
        <f>MAX(D30:H30)</f>
        <v/>
      </c>
      <c r="O30" s="66">
        <f>MIN(I30:M30)</f>
        <v/>
      </c>
      <c r="P30" s="71">
        <f>IF(AND(C30&gt;=N30,C30&lt;=O30),"SIM",IF(AND(C30&gt;=MAX(F30:H30),C30&lt;=MIN(K30:M30)),"SIM c/ As,ato","NÃO"))</f>
        <v/>
      </c>
      <c r="Q30" s="66">
        <f>Dados!$C$42</f>
        <v/>
      </c>
    </row>
    <row r="31" ht="15" customHeight="1" s="47">
      <c r="A31" s="63">
        <f>Tracado_Perdas!B31</f>
        <v/>
      </c>
      <c r="B31" s="66">
        <f>Tracado_Perdas!D31</f>
        <v/>
      </c>
      <c r="C31" s="66">
        <f>B31-Hiperestatico!H31/Tensoes!D31</f>
        <v/>
      </c>
      <c r="D31" s="66">
        <f>(Esforcos!D31-Dados!$C$26*1000*Dados!$C$10)/Tensoes!C31-Dados!$C$11</f>
        <v/>
      </c>
      <c r="E31" s="66">
        <f>(Esforcos!D31-Dados!$C$27*1000*Dados!$C$10)/Tensoes!C31+Dados!$C$11</f>
        <v/>
      </c>
      <c r="F31" s="66">
        <f>Esforcos!H31/Tensoes!D31-Dados!$C$11</f>
        <v/>
      </c>
      <c r="G31" s="66">
        <f>(Esforcos!J31-Dados!$C$25*1000*Dados!$C$10)/Tensoes!D31-Dados!$C$11</f>
        <v/>
      </c>
      <c r="H31" s="66">
        <f>(Esforcos!J31-Dados!$C$28*1000*Dados!$C$10)/Tensoes!D31+Dados!$C$11</f>
        <v/>
      </c>
      <c r="I31" s="66">
        <f>(Esforcos!D31+Dados!$C$27*1000*Dados!$C$10)/Tensoes!C31-Dados!$C$11</f>
        <v/>
      </c>
      <c r="J31" s="66">
        <f>(Esforcos!D31+Dados!$C$26*1000*Dados!$C$10)/Tensoes!C31+Dados!$C$11</f>
        <v/>
      </c>
      <c r="K31" s="66">
        <f>Esforcos!I31/Tensoes!D31+Dados!$C$11</f>
        <v/>
      </c>
      <c r="L31" s="66">
        <f>(Dados!$C$25*1000*Dados!$C$10+Esforcos!K31)/Tensoes!D31+Dados!$C$11</f>
        <v/>
      </c>
      <c r="M31" s="66">
        <f>(Esforcos!K31+Dados!$C$28*1000*Dados!$C$10)/Tensoes!D31-Dados!$C$11</f>
        <v/>
      </c>
      <c r="N31" s="66">
        <f>MAX(D31:H31)</f>
        <v/>
      </c>
      <c r="O31" s="66">
        <f>MIN(I31:M31)</f>
        <v/>
      </c>
      <c r="P31" s="71">
        <f>IF(AND(C31&gt;=N31,C31&lt;=O31),"SIM",IF(AND(C31&gt;=MAX(F31:H31),C31&lt;=MIN(K31:M31)),"SIM c/ As,ato","NÃO"))</f>
        <v/>
      </c>
      <c r="Q31" s="66">
        <f>Dados!$C$42</f>
        <v/>
      </c>
    </row>
    <row r="32" ht="15" customHeight="1" s="47">
      <c r="A32" s="63">
        <f>Tracado_Perdas!B32</f>
        <v/>
      </c>
      <c r="B32" s="66">
        <f>Tracado_Perdas!D32</f>
        <v/>
      </c>
      <c r="C32" s="66">
        <f>B32-Hiperestatico!H32/Tensoes!D32</f>
        <v/>
      </c>
      <c r="D32" s="66">
        <f>(Esforcos!D32-Dados!$C$26*1000*Dados!$C$10)/Tensoes!C32-Dados!$C$11</f>
        <v/>
      </c>
      <c r="E32" s="66">
        <f>(Esforcos!D32-Dados!$C$27*1000*Dados!$C$10)/Tensoes!C32+Dados!$C$11</f>
        <v/>
      </c>
      <c r="F32" s="66">
        <f>Esforcos!H32/Tensoes!D32-Dados!$C$11</f>
        <v/>
      </c>
      <c r="G32" s="66">
        <f>(Esforcos!J32-Dados!$C$25*1000*Dados!$C$10)/Tensoes!D32-Dados!$C$11</f>
        <v/>
      </c>
      <c r="H32" s="66">
        <f>(Esforcos!J32-Dados!$C$28*1000*Dados!$C$10)/Tensoes!D32+Dados!$C$11</f>
        <v/>
      </c>
      <c r="I32" s="66">
        <f>(Esforcos!D32+Dados!$C$27*1000*Dados!$C$10)/Tensoes!C32-Dados!$C$11</f>
        <v/>
      </c>
      <c r="J32" s="66">
        <f>(Esforcos!D32+Dados!$C$26*1000*Dados!$C$10)/Tensoes!C32+Dados!$C$11</f>
        <v/>
      </c>
      <c r="K32" s="66">
        <f>Esforcos!I32/Tensoes!D32+Dados!$C$11</f>
        <v/>
      </c>
      <c r="L32" s="66">
        <f>(Dados!$C$25*1000*Dados!$C$10+Esforcos!K32)/Tensoes!D32+Dados!$C$11</f>
        <v/>
      </c>
      <c r="M32" s="66">
        <f>(Esforcos!K32+Dados!$C$28*1000*Dados!$C$10)/Tensoes!D32-Dados!$C$11</f>
        <v/>
      </c>
      <c r="N32" s="66">
        <f>MAX(D32:H32)</f>
        <v/>
      </c>
      <c r="O32" s="66">
        <f>MIN(I32:M32)</f>
        <v/>
      </c>
      <c r="P32" s="71">
        <f>IF(AND(C32&gt;=N32,C32&lt;=O32),"SIM",IF(AND(C32&gt;=MAX(F32:H32),C32&lt;=MIN(K32:M32)),"SIM c/ As,ato","NÃO"))</f>
        <v/>
      </c>
      <c r="Q32" s="66">
        <f>Dados!$C$42</f>
        <v/>
      </c>
    </row>
    <row r="33" ht="15" customHeight="1" s="47">
      <c r="A33" s="63">
        <f>Tracado_Perdas!B33</f>
        <v/>
      </c>
      <c r="B33" s="66">
        <f>Tracado_Perdas!D33</f>
        <v/>
      </c>
      <c r="C33" s="66">
        <f>B33-Hiperestatico!H33/Tensoes!D33</f>
        <v/>
      </c>
      <c r="D33" s="66">
        <f>(Esforcos!D33-Dados!$C$26*1000*Dados!$C$10)/Tensoes!C33-Dados!$C$11</f>
        <v/>
      </c>
      <c r="E33" s="66">
        <f>(Esforcos!D33-Dados!$C$27*1000*Dados!$C$10)/Tensoes!C33+Dados!$C$11</f>
        <v/>
      </c>
      <c r="F33" s="66">
        <f>Esforcos!H33/Tensoes!D33-Dados!$C$11</f>
        <v/>
      </c>
      <c r="G33" s="66">
        <f>(Esforcos!J33-Dados!$C$25*1000*Dados!$C$10)/Tensoes!D33-Dados!$C$11</f>
        <v/>
      </c>
      <c r="H33" s="66">
        <f>(Esforcos!J33-Dados!$C$28*1000*Dados!$C$10)/Tensoes!D33+Dados!$C$11</f>
        <v/>
      </c>
      <c r="I33" s="66">
        <f>(Esforcos!D33+Dados!$C$27*1000*Dados!$C$10)/Tensoes!C33-Dados!$C$11</f>
        <v/>
      </c>
      <c r="J33" s="66">
        <f>(Esforcos!D33+Dados!$C$26*1000*Dados!$C$10)/Tensoes!C33+Dados!$C$11</f>
        <v/>
      </c>
      <c r="K33" s="66">
        <f>Esforcos!I33/Tensoes!D33+Dados!$C$11</f>
        <v/>
      </c>
      <c r="L33" s="66">
        <f>(Dados!$C$25*1000*Dados!$C$10+Esforcos!K33)/Tensoes!D33+Dados!$C$11</f>
        <v/>
      </c>
      <c r="M33" s="66">
        <f>(Esforcos!K33+Dados!$C$28*1000*Dados!$C$10)/Tensoes!D33-Dados!$C$11</f>
        <v/>
      </c>
      <c r="N33" s="66">
        <f>MAX(D33:H33)</f>
        <v/>
      </c>
      <c r="O33" s="66">
        <f>MIN(I33:M33)</f>
        <v/>
      </c>
      <c r="P33" s="71">
        <f>IF(AND(C33&gt;=N33,C33&lt;=O33),"SIM",IF(AND(C33&gt;=MAX(F33:H33),C33&lt;=MIN(K33:M33)),"SIM c/ As,ato","NÃO"))</f>
        <v/>
      </c>
      <c r="Q33" s="66">
        <f>Dados!$C$42</f>
        <v/>
      </c>
    </row>
    <row r="34" ht="15" customHeight="1" s="47">
      <c r="A34" s="63">
        <f>Tracado_Perdas!B34</f>
        <v/>
      </c>
      <c r="B34" s="66">
        <f>Tracado_Perdas!D34</f>
        <v/>
      </c>
      <c r="C34" s="66">
        <f>B34-Hiperestatico!H34/Tensoes!D34</f>
        <v/>
      </c>
      <c r="D34" s="66">
        <f>(Esforcos!D34-Dados!$C$26*1000*Dados!$C$10)/Tensoes!C34-Dados!$C$11</f>
        <v/>
      </c>
      <c r="E34" s="66">
        <f>(Esforcos!D34-Dados!$C$27*1000*Dados!$C$10)/Tensoes!C34+Dados!$C$11</f>
        <v/>
      </c>
      <c r="F34" s="66">
        <f>Esforcos!H34/Tensoes!D34-Dados!$C$11</f>
        <v/>
      </c>
      <c r="G34" s="66">
        <f>(Esforcos!J34-Dados!$C$25*1000*Dados!$C$10)/Tensoes!D34-Dados!$C$11</f>
        <v/>
      </c>
      <c r="H34" s="66">
        <f>(Esforcos!J34-Dados!$C$28*1000*Dados!$C$10)/Tensoes!D34+Dados!$C$11</f>
        <v/>
      </c>
      <c r="I34" s="66">
        <f>(Esforcos!D34+Dados!$C$27*1000*Dados!$C$10)/Tensoes!C34-Dados!$C$11</f>
        <v/>
      </c>
      <c r="J34" s="66">
        <f>(Esforcos!D34+Dados!$C$26*1000*Dados!$C$10)/Tensoes!C34+Dados!$C$11</f>
        <v/>
      </c>
      <c r="K34" s="66">
        <f>Esforcos!I34/Tensoes!D34+Dados!$C$11</f>
        <v/>
      </c>
      <c r="L34" s="66">
        <f>(Dados!$C$25*1000*Dados!$C$10+Esforcos!K34)/Tensoes!D34+Dados!$C$11</f>
        <v/>
      </c>
      <c r="M34" s="66">
        <f>(Esforcos!K34+Dados!$C$28*1000*Dados!$C$10)/Tensoes!D34-Dados!$C$11</f>
        <v/>
      </c>
      <c r="N34" s="66">
        <f>MAX(D34:H34)</f>
        <v/>
      </c>
      <c r="O34" s="66">
        <f>MIN(I34:M34)</f>
        <v/>
      </c>
      <c r="P34" s="71">
        <f>IF(AND(C34&gt;=N34,C34&lt;=O34),"SIM",IF(AND(C34&gt;=MAX(F34:H34),C34&lt;=MIN(K34:M34)),"SIM c/ As,ato","NÃO"))</f>
        <v/>
      </c>
      <c r="Q34" s="66">
        <f>Dados!$C$42</f>
        <v/>
      </c>
    </row>
    <row r="35" ht="15" customHeight="1" s="47">
      <c r="A35" s="63">
        <f>Tracado_Perdas!B35</f>
        <v/>
      </c>
      <c r="B35" s="66">
        <f>Tracado_Perdas!D35</f>
        <v/>
      </c>
      <c r="C35" s="66">
        <f>B35-Hiperestatico!H35/Tensoes!D35</f>
        <v/>
      </c>
      <c r="D35" s="66">
        <f>(Esforcos!D35-Dados!$C$26*1000*Dados!$C$10)/Tensoes!C35-Dados!$C$11</f>
        <v/>
      </c>
      <c r="E35" s="66">
        <f>(Esforcos!D35-Dados!$C$27*1000*Dados!$C$10)/Tensoes!C35+Dados!$C$11</f>
        <v/>
      </c>
      <c r="F35" s="66">
        <f>Esforcos!H35/Tensoes!D35-Dados!$C$11</f>
        <v/>
      </c>
      <c r="G35" s="66">
        <f>(Esforcos!J35-Dados!$C$25*1000*Dados!$C$10)/Tensoes!D35-Dados!$C$11</f>
        <v/>
      </c>
      <c r="H35" s="66">
        <f>(Esforcos!J35-Dados!$C$28*1000*Dados!$C$10)/Tensoes!D35+Dados!$C$11</f>
        <v/>
      </c>
      <c r="I35" s="66">
        <f>(Esforcos!D35+Dados!$C$27*1000*Dados!$C$10)/Tensoes!C35-Dados!$C$11</f>
        <v/>
      </c>
      <c r="J35" s="66">
        <f>(Esforcos!D35+Dados!$C$26*1000*Dados!$C$10)/Tensoes!C35+Dados!$C$11</f>
        <v/>
      </c>
      <c r="K35" s="66">
        <f>Esforcos!I35/Tensoes!D35+Dados!$C$11</f>
        <v/>
      </c>
      <c r="L35" s="66">
        <f>(Dados!$C$25*1000*Dados!$C$10+Esforcos!K35)/Tensoes!D35+Dados!$C$11</f>
        <v/>
      </c>
      <c r="M35" s="66">
        <f>(Esforcos!K35+Dados!$C$28*1000*Dados!$C$10)/Tensoes!D35-Dados!$C$11</f>
        <v/>
      </c>
      <c r="N35" s="66">
        <f>MAX(D35:H35)</f>
        <v/>
      </c>
      <c r="O35" s="66">
        <f>MIN(I35:M35)</f>
        <v/>
      </c>
      <c r="P35" s="71">
        <f>IF(AND(C35&gt;=N35,C35&lt;=O35),"SIM",IF(AND(C35&gt;=MAX(F35:H35),C35&lt;=MIN(K35:M35)),"SIM c/ As,ato","NÃO"))</f>
        <v/>
      </c>
      <c r="Q35" s="66">
        <f>Dados!$C$42</f>
        <v/>
      </c>
    </row>
    <row r="36" ht="15" customHeight="1" s="47">
      <c r="A36" s="63">
        <f>Tracado_Perdas!B36</f>
        <v/>
      </c>
      <c r="B36" s="66">
        <f>Tracado_Perdas!D36</f>
        <v/>
      </c>
      <c r="C36" s="66">
        <f>B36-Hiperestatico!H36/Tensoes!D36</f>
        <v/>
      </c>
      <c r="D36" s="66">
        <f>(Esforcos!D36-Dados!$C$26*1000*Dados!$C$10)/Tensoes!C36-Dados!$C$11</f>
        <v/>
      </c>
      <c r="E36" s="66">
        <f>(Esforcos!D36-Dados!$C$27*1000*Dados!$C$10)/Tensoes!C36+Dados!$C$11</f>
        <v/>
      </c>
      <c r="F36" s="66">
        <f>Esforcos!H36/Tensoes!D36-Dados!$C$11</f>
        <v/>
      </c>
      <c r="G36" s="66">
        <f>(Esforcos!J36-Dados!$C$25*1000*Dados!$C$10)/Tensoes!D36-Dados!$C$11</f>
        <v/>
      </c>
      <c r="H36" s="66">
        <f>(Esforcos!J36-Dados!$C$28*1000*Dados!$C$10)/Tensoes!D36+Dados!$C$11</f>
        <v/>
      </c>
      <c r="I36" s="66">
        <f>(Esforcos!D36+Dados!$C$27*1000*Dados!$C$10)/Tensoes!C36-Dados!$C$11</f>
        <v/>
      </c>
      <c r="J36" s="66">
        <f>(Esforcos!D36+Dados!$C$26*1000*Dados!$C$10)/Tensoes!C36+Dados!$C$11</f>
        <v/>
      </c>
      <c r="K36" s="66">
        <f>Esforcos!I36/Tensoes!D36+Dados!$C$11</f>
        <v/>
      </c>
      <c r="L36" s="66">
        <f>(Dados!$C$25*1000*Dados!$C$10+Esforcos!K36)/Tensoes!D36+Dados!$C$11</f>
        <v/>
      </c>
      <c r="M36" s="66">
        <f>(Esforcos!K36+Dados!$C$28*1000*Dados!$C$10)/Tensoes!D36-Dados!$C$11</f>
        <v/>
      </c>
      <c r="N36" s="66">
        <f>MAX(D36:H36)</f>
        <v/>
      </c>
      <c r="O36" s="66">
        <f>MIN(I36:M36)</f>
        <v/>
      </c>
      <c r="P36" s="71">
        <f>IF(AND(C36&gt;=N36,C36&lt;=O36),"SIM",IF(AND(C36&gt;=MAX(F36:H36),C36&lt;=MIN(K36:M36)),"SIM c/ As,ato","NÃO"))</f>
        <v/>
      </c>
      <c r="Q36" s="66">
        <f>Dados!$C$42</f>
        <v/>
      </c>
    </row>
    <row r="37" ht="15" customHeight="1" s="47">
      <c r="A37" s="63">
        <f>Tracado_Perdas!B37</f>
        <v/>
      </c>
      <c r="B37" s="66">
        <f>Tracado_Perdas!D37</f>
        <v/>
      </c>
      <c r="C37" s="66">
        <f>B37-Hiperestatico!H37/Tensoes!D37</f>
        <v/>
      </c>
      <c r="D37" s="66">
        <f>(Esforcos!D37-Dados!$C$26*1000*Dados!$C$10)/Tensoes!C37-Dados!$C$11</f>
        <v/>
      </c>
      <c r="E37" s="66">
        <f>(Esforcos!D37-Dados!$C$27*1000*Dados!$C$10)/Tensoes!C37+Dados!$C$11</f>
        <v/>
      </c>
      <c r="F37" s="66">
        <f>Esforcos!H37/Tensoes!D37-Dados!$C$11</f>
        <v/>
      </c>
      <c r="G37" s="66">
        <f>(Esforcos!J37-Dados!$C$25*1000*Dados!$C$10)/Tensoes!D37-Dados!$C$11</f>
        <v/>
      </c>
      <c r="H37" s="66">
        <f>(Esforcos!J37-Dados!$C$28*1000*Dados!$C$10)/Tensoes!D37+Dados!$C$11</f>
        <v/>
      </c>
      <c r="I37" s="66">
        <f>(Esforcos!D37+Dados!$C$27*1000*Dados!$C$10)/Tensoes!C37-Dados!$C$11</f>
        <v/>
      </c>
      <c r="J37" s="66">
        <f>(Esforcos!D37+Dados!$C$26*1000*Dados!$C$10)/Tensoes!C37+Dados!$C$11</f>
        <v/>
      </c>
      <c r="K37" s="66">
        <f>Esforcos!I37/Tensoes!D37+Dados!$C$11</f>
        <v/>
      </c>
      <c r="L37" s="66">
        <f>(Dados!$C$25*1000*Dados!$C$10+Esforcos!K37)/Tensoes!D37+Dados!$C$11</f>
        <v/>
      </c>
      <c r="M37" s="66">
        <f>(Esforcos!K37+Dados!$C$28*1000*Dados!$C$10)/Tensoes!D37-Dados!$C$11</f>
        <v/>
      </c>
      <c r="N37" s="66">
        <f>MAX(D37:H37)</f>
        <v/>
      </c>
      <c r="O37" s="66">
        <f>MIN(I37:M37)</f>
        <v/>
      </c>
      <c r="P37" s="71">
        <f>IF(AND(C37&gt;=N37,C37&lt;=O37),"SIM",IF(AND(C37&gt;=MAX(F37:H37),C37&lt;=MIN(K37:M37)),"SIM c/ As,ato","NÃO"))</f>
        <v/>
      </c>
      <c r="Q37" s="66">
        <f>Dados!$C$42</f>
        <v/>
      </c>
    </row>
    <row r="38" ht="15" customHeight="1" s="47">
      <c r="A38" s="63">
        <f>Tracado_Perdas!B38</f>
        <v/>
      </c>
      <c r="B38" s="66">
        <f>Tracado_Perdas!D38</f>
        <v/>
      </c>
      <c r="C38" s="66">
        <f>B38-Hiperestatico!H38/Tensoes!D38</f>
        <v/>
      </c>
      <c r="D38" s="66">
        <f>(Esforcos!D38-Dados!$C$26*1000*Dados!$C$10)/Tensoes!C38-Dados!$C$11</f>
        <v/>
      </c>
      <c r="E38" s="66">
        <f>(Esforcos!D38-Dados!$C$27*1000*Dados!$C$10)/Tensoes!C38+Dados!$C$11</f>
        <v/>
      </c>
      <c r="F38" s="66">
        <f>Esforcos!H38/Tensoes!D38-Dados!$C$11</f>
        <v/>
      </c>
      <c r="G38" s="66">
        <f>(Esforcos!J38-Dados!$C$25*1000*Dados!$C$10)/Tensoes!D38-Dados!$C$11</f>
        <v/>
      </c>
      <c r="H38" s="66">
        <f>(Esforcos!J38-Dados!$C$28*1000*Dados!$C$10)/Tensoes!D38+Dados!$C$11</f>
        <v/>
      </c>
      <c r="I38" s="66">
        <f>(Esforcos!D38+Dados!$C$27*1000*Dados!$C$10)/Tensoes!C38-Dados!$C$11</f>
        <v/>
      </c>
      <c r="J38" s="66">
        <f>(Esforcos!D38+Dados!$C$26*1000*Dados!$C$10)/Tensoes!C38+Dados!$C$11</f>
        <v/>
      </c>
      <c r="K38" s="66">
        <f>Esforcos!I38/Tensoes!D38+Dados!$C$11</f>
        <v/>
      </c>
      <c r="L38" s="66">
        <f>(Dados!$C$25*1000*Dados!$C$10+Esforcos!K38)/Tensoes!D38+Dados!$C$11</f>
        <v/>
      </c>
      <c r="M38" s="66">
        <f>(Esforcos!K38+Dados!$C$28*1000*Dados!$C$10)/Tensoes!D38-Dados!$C$11</f>
        <v/>
      </c>
      <c r="N38" s="66">
        <f>MAX(D38:H38)</f>
        <v/>
      </c>
      <c r="O38" s="66">
        <f>MIN(I38:M38)</f>
        <v/>
      </c>
      <c r="P38" s="71">
        <f>IF(AND(C38&gt;=N38,C38&lt;=O38),"SIM",IF(AND(C38&gt;=MAX(F38:H38),C38&lt;=MIN(K38:M38)),"SIM c/ As,ato","NÃO"))</f>
        <v/>
      </c>
      <c r="Q38" s="66">
        <f>Dados!$C$42</f>
        <v/>
      </c>
    </row>
    <row r="39" ht="15" customHeight="1" s="47">
      <c r="A39" s="63">
        <f>Tracado_Perdas!B39</f>
        <v/>
      </c>
      <c r="B39" s="66">
        <f>Tracado_Perdas!D39</f>
        <v/>
      </c>
      <c r="C39" s="66">
        <f>B39-Hiperestatico!H39/Tensoes!D39</f>
        <v/>
      </c>
      <c r="D39" s="66">
        <f>(Esforcos!D39-Dados!$C$26*1000*Dados!$C$10)/Tensoes!C39-Dados!$C$11</f>
        <v/>
      </c>
      <c r="E39" s="66">
        <f>(Esforcos!D39-Dados!$C$27*1000*Dados!$C$10)/Tensoes!C39+Dados!$C$11</f>
        <v/>
      </c>
      <c r="F39" s="66">
        <f>Esforcos!H39/Tensoes!D39-Dados!$C$11</f>
        <v/>
      </c>
      <c r="G39" s="66">
        <f>(Esforcos!J39-Dados!$C$25*1000*Dados!$C$10)/Tensoes!D39-Dados!$C$11</f>
        <v/>
      </c>
      <c r="H39" s="66">
        <f>(Esforcos!J39-Dados!$C$28*1000*Dados!$C$10)/Tensoes!D39+Dados!$C$11</f>
        <v/>
      </c>
      <c r="I39" s="66">
        <f>(Esforcos!D39+Dados!$C$27*1000*Dados!$C$10)/Tensoes!C39-Dados!$C$11</f>
        <v/>
      </c>
      <c r="J39" s="66">
        <f>(Esforcos!D39+Dados!$C$26*1000*Dados!$C$10)/Tensoes!C39+Dados!$C$11</f>
        <v/>
      </c>
      <c r="K39" s="66">
        <f>Esforcos!I39/Tensoes!D39+Dados!$C$11</f>
        <v/>
      </c>
      <c r="L39" s="66">
        <f>(Dados!$C$25*1000*Dados!$C$10+Esforcos!K39)/Tensoes!D39+Dados!$C$11</f>
        <v/>
      </c>
      <c r="M39" s="66">
        <f>(Esforcos!K39+Dados!$C$28*1000*Dados!$C$10)/Tensoes!D39-Dados!$C$11</f>
        <v/>
      </c>
      <c r="N39" s="66">
        <f>MAX(D39:H39)</f>
        <v/>
      </c>
      <c r="O39" s="66">
        <f>MIN(I39:M39)</f>
        <v/>
      </c>
      <c r="P39" s="71">
        <f>IF(AND(C39&gt;=N39,C39&lt;=O39),"SIM",IF(AND(C39&gt;=MAX(F39:H39),C39&lt;=MIN(K39:M39)),"SIM c/ As,ato","NÃO"))</f>
        <v/>
      </c>
      <c r="Q39" s="66">
        <f>Dados!$C$42</f>
        <v/>
      </c>
    </row>
    <row r="40" ht="15" customHeight="1" s="47">
      <c r="A40" s="63">
        <f>Tracado_Perdas!B40</f>
        <v/>
      </c>
      <c r="B40" s="66">
        <f>Tracado_Perdas!D40</f>
        <v/>
      </c>
      <c r="C40" s="66">
        <f>B40-Hiperestatico!H40/Tensoes!D40</f>
        <v/>
      </c>
      <c r="D40" s="66">
        <f>(Esforcos!D40-Dados!$C$26*1000*Dados!$C$10)/Tensoes!C40-Dados!$C$11</f>
        <v/>
      </c>
      <c r="E40" s="66">
        <f>(Esforcos!D40-Dados!$C$27*1000*Dados!$C$10)/Tensoes!C40+Dados!$C$11</f>
        <v/>
      </c>
      <c r="F40" s="66">
        <f>Esforcos!H40/Tensoes!D40-Dados!$C$11</f>
        <v/>
      </c>
      <c r="G40" s="66">
        <f>(Esforcos!J40-Dados!$C$25*1000*Dados!$C$10)/Tensoes!D40-Dados!$C$11</f>
        <v/>
      </c>
      <c r="H40" s="66">
        <f>(Esforcos!J40-Dados!$C$28*1000*Dados!$C$10)/Tensoes!D40+Dados!$C$11</f>
        <v/>
      </c>
      <c r="I40" s="66">
        <f>(Esforcos!D40+Dados!$C$27*1000*Dados!$C$10)/Tensoes!C40-Dados!$C$11</f>
        <v/>
      </c>
      <c r="J40" s="66">
        <f>(Esforcos!D40+Dados!$C$26*1000*Dados!$C$10)/Tensoes!C40+Dados!$C$11</f>
        <v/>
      </c>
      <c r="K40" s="66">
        <f>Esforcos!I40/Tensoes!D40+Dados!$C$11</f>
        <v/>
      </c>
      <c r="L40" s="66">
        <f>(Dados!$C$25*1000*Dados!$C$10+Esforcos!K40)/Tensoes!D40+Dados!$C$11</f>
        <v/>
      </c>
      <c r="M40" s="66">
        <f>(Esforcos!K40+Dados!$C$28*1000*Dados!$C$10)/Tensoes!D40-Dados!$C$11</f>
        <v/>
      </c>
      <c r="N40" s="66">
        <f>MAX(D40:H40)</f>
        <v/>
      </c>
      <c r="O40" s="66">
        <f>MIN(I40:M40)</f>
        <v/>
      </c>
      <c r="P40" s="71">
        <f>IF(AND(C40&gt;=N40,C40&lt;=O40),"SIM",IF(AND(C40&gt;=MAX(F40:H40),C40&lt;=MIN(K40:M40)),"SIM c/ As,ato","NÃO"))</f>
        <v/>
      </c>
      <c r="Q40" s="66">
        <f>Dados!$C$42</f>
        <v/>
      </c>
    </row>
    <row r="41" ht="15" customHeight="1" s="47">
      <c r="A41" s="63">
        <f>Tracado_Perdas!B41</f>
        <v/>
      </c>
      <c r="B41" s="66">
        <f>Tracado_Perdas!D41</f>
        <v/>
      </c>
      <c r="C41" s="66">
        <f>B41-Hiperestatico!H41/Tensoes!D41</f>
        <v/>
      </c>
      <c r="D41" s="66">
        <f>(Esforcos!D41-Dados!$C$26*1000*Dados!$C$10)/Tensoes!C41-Dados!$C$11</f>
        <v/>
      </c>
      <c r="E41" s="66">
        <f>(Esforcos!D41-Dados!$C$27*1000*Dados!$C$10)/Tensoes!C41+Dados!$C$11</f>
        <v/>
      </c>
      <c r="F41" s="66">
        <f>Esforcos!H41/Tensoes!D41-Dados!$C$11</f>
        <v/>
      </c>
      <c r="G41" s="66">
        <f>(Esforcos!J41-Dados!$C$25*1000*Dados!$C$10)/Tensoes!D41-Dados!$C$11</f>
        <v/>
      </c>
      <c r="H41" s="66">
        <f>(Esforcos!J41-Dados!$C$28*1000*Dados!$C$10)/Tensoes!D41+Dados!$C$11</f>
        <v/>
      </c>
      <c r="I41" s="66">
        <f>(Esforcos!D41+Dados!$C$27*1000*Dados!$C$10)/Tensoes!C41-Dados!$C$11</f>
        <v/>
      </c>
      <c r="J41" s="66">
        <f>(Esforcos!D41+Dados!$C$26*1000*Dados!$C$10)/Tensoes!C41+Dados!$C$11</f>
        <v/>
      </c>
      <c r="K41" s="66">
        <f>Esforcos!I41/Tensoes!D41+Dados!$C$11</f>
        <v/>
      </c>
      <c r="L41" s="66">
        <f>(Dados!$C$25*1000*Dados!$C$10+Esforcos!K41)/Tensoes!D41+Dados!$C$11</f>
        <v/>
      </c>
      <c r="M41" s="66">
        <f>(Esforcos!K41+Dados!$C$28*1000*Dados!$C$10)/Tensoes!D41-Dados!$C$11</f>
        <v/>
      </c>
      <c r="N41" s="66">
        <f>MAX(D41:H41)</f>
        <v/>
      </c>
      <c r="O41" s="66">
        <f>MIN(I41:M41)</f>
        <v/>
      </c>
      <c r="P41" s="71">
        <f>IF(AND(C41&gt;=N41,C41&lt;=O41),"SIM",IF(AND(C41&gt;=MAX(F41:H41),C41&lt;=MIN(K41:M41)),"SIM c/ As,ato","NÃO"))</f>
        <v/>
      </c>
      <c r="Q41" s="66">
        <f>Dados!$C$42</f>
        <v/>
      </c>
    </row>
    <row r="42" ht="15" customHeight="1" s="47">
      <c r="A42" s="63">
        <f>Tracado_Perdas!B42</f>
        <v/>
      </c>
      <c r="B42" s="66">
        <f>Tracado_Perdas!D42</f>
        <v/>
      </c>
      <c r="C42" s="66">
        <f>B42-Hiperestatico!H42/Tensoes!D42</f>
        <v/>
      </c>
      <c r="D42" s="66">
        <f>(Esforcos!D42-Dados!$C$26*1000*Dados!$C$10)/Tensoes!C42-Dados!$C$11</f>
        <v/>
      </c>
      <c r="E42" s="66">
        <f>(Esforcos!D42-Dados!$C$27*1000*Dados!$C$10)/Tensoes!C42+Dados!$C$11</f>
        <v/>
      </c>
      <c r="F42" s="66">
        <f>Esforcos!H42/Tensoes!D42-Dados!$C$11</f>
        <v/>
      </c>
      <c r="G42" s="66">
        <f>(Esforcos!J42-Dados!$C$25*1000*Dados!$C$10)/Tensoes!D42-Dados!$C$11</f>
        <v/>
      </c>
      <c r="H42" s="66">
        <f>(Esforcos!J42-Dados!$C$28*1000*Dados!$C$10)/Tensoes!D42+Dados!$C$11</f>
        <v/>
      </c>
      <c r="I42" s="66">
        <f>(Esforcos!D42+Dados!$C$27*1000*Dados!$C$10)/Tensoes!C42-Dados!$C$11</f>
        <v/>
      </c>
      <c r="J42" s="66">
        <f>(Esforcos!D42+Dados!$C$26*1000*Dados!$C$10)/Tensoes!C42+Dados!$C$11</f>
        <v/>
      </c>
      <c r="K42" s="66">
        <f>Esforcos!I42/Tensoes!D42+Dados!$C$11</f>
        <v/>
      </c>
      <c r="L42" s="66">
        <f>(Dados!$C$25*1000*Dados!$C$10+Esforcos!K42)/Tensoes!D42+Dados!$C$11</f>
        <v/>
      </c>
      <c r="M42" s="66">
        <f>(Esforcos!K42+Dados!$C$28*1000*Dados!$C$10)/Tensoes!D42-Dados!$C$11</f>
        <v/>
      </c>
      <c r="N42" s="66">
        <f>MAX(D42:H42)</f>
        <v/>
      </c>
      <c r="O42" s="66">
        <f>MIN(I42:M42)</f>
        <v/>
      </c>
      <c r="P42" s="71">
        <f>IF(AND(C42&gt;=N42,C42&lt;=O42),"SIM",IF(AND(C42&gt;=MAX(F42:H42),C42&lt;=MIN(K42:M42)),"SIM c/ As,ato","NÃO"))</f>
        <v/>
      </c>
      <c r="Q42" s="66">
        <f>Dados!$C$42</f>
        <v/>
      </c>
    </row>
    <row r="43" ht="15" customHeight="1" s="47">
      <c r="A43" s="63">
        <f>Tracado_Perdas!B43</f>
        <v/>
      </c>
      <c r="B43" s="66">
        <f>Tracado_Perdas!D43</f>
        <v/>
      </c>
      <c r="C43" s="66">
        <f>B43-Hiperestatico!H43/Tensoes!D43</f>
        <v/>
      </c>
      <c r="D43" s="66">
        <f>(Esforcos!D43-Dados!$C$26*1000*Dados!$C$10)/Tensoes!C43-Dados!$C$11</f>
        <v/>
      </c>
      <c r="E43" s="66">
        <f>(Esforcos!D43-Dados!$C$27*1000*Dados!$C$10)/Tensoes!C43+Dados!$C$11</f>
        <v/>
      </c>
      <c r="F43" s="66">
        <f>Esforcos!H43/Tensoes!D43-Dados!$C$11</f>
        <v/>
      </c>
      <c r="G43" s="66">
        <f>(Esforcos!J43-Dados!$C$25*1000*Dados!$C$10)/Tensoes!D43-Dados!$C$11</f>
        <v/>
      </c>
      <c r="H43" s="66">
        <f>(Esforcos!J43-Dados!$C$28*1000*Dados!$C$10)/Tensoes!D43+Dados!$C$11</f>
        <v/>
      </c>
      <c r="I43" s="66">
        <f>(Esforcos!D43+Dados!$C$27*1000*Dados!$C$10)/Tensoes!C43-Dados!$C$11</f>
        <v/>
      </c>
      <c r="J43" s="66">
        <f>(Esforcos!D43+Dados!$C$26*1000*Dados!$C$10)/Tensoes!C43+Dados!$C$11</f>
        <v/>
      </c>
      <c r="K43" s="66">
        <f>Esforcos!I43/Tensoes!D43+Dados!$C$11</f>
        <v/>
      </c>
      <c r="L43" s="66">
        <f>(Dados!$C$25*1000*Dados!$C$10+Esforcos!K43)/Tensoes!D43+Dados!$C$11</f>
        <v/>
      </c>
      <c r="M43" s="66">
        <f>(Esforcos!K43+Dados!$C$28*1000*Dados!$C$10)/Tensoes!D43-Dados!$C$11</f>
        <v/>
      </c>
      <c r="N43" s="66">
        <f>MAX(D43:H43)</f>
        <v/>
      </c>
      <c r="O43" s="66">
        <f>MIN(I43:M43)</f>
        <v/>
      </c>
      <c r="P43" s="71">
        <f>IF(AND(C43&gt;=N43,C43&lt;=O43),"SIM",IF(AND(C43&gt;=MAX(F43:H43),C43&lt;=MIN(K43:M43)),"SIM c/ As,ato","NÃO"))</f>
        <v/>
      </c>
      <c r="Q43" s="66">
        <f>Dados!$C$42</f>
        <v/>
      </c>
    </row>
    <row r="44" ht="15" customHeight="1" s="47">
      <c r="A44" s="63">
        <f>Tracado_Perdas!B44</f>
        <v/>
      </c>
      <c r="B44" s="66">
        <f>Tracado_Perdas!D44</f>
        <v/>
      </c>
      <c r="C44" s="66">
        <f>B44-Hiperestatico!H44/Tensoes!D44</f>
        <v/>
      </c>
      <c r="D44" s="66">
        <f>(Esforcos!D44-Dados!$C$26*1000*Dados!$C$10)/Tensoes!C44-Dados!$C$11</f>
        <v/>
      </c>
      <c r="E44" s="66">
        <f>(Esforcos!D44-Dados!$C$27*1000*Dados!$C$10)/Tensoes!C44+Dados!$C$11</f>
        <v/>
      </c>
      <c r="F44" s="66">
        <f>Esforcos!H44/Tensoes!D44-Dados!$C$11</f>
        <v/>
      </c>
      <c r="G44" s="66">
        <f>(Esforcos!J44-Dados!$C$25*1000*Dados!$C$10)/Tensoes!D44-Dados!$C$11</f>
        <v/>
      </c>
      <c r="H44" s="66">
        <f>(Esforcos!J44-Dados!$C$28*1000*Dados!$C$10)/Tensoes!D44+Dados!$C$11</f>
        <v/>
      </c>
      <c r="I44" s="66">
        <f>(Esforcos!D44+Dados!$C$27*1000*Dados!$C$10)/Tensoes!C44-Dados!$C$11</f>
        <v/>
      </c>
      <c r="J44" s="66">
        <f>(Esforcos!D44+Dados!$C$26*1000*Dados!$C$10)/Tensoes!C44+Dados!$C$11</f>
        <v/>
      </c>
      <c r="K44" s="66">
        <f>Esforcos!I44/Tensoes!D44+Dados!$C$11</f>
        <v/>
      </c>
      <c r="L44" s="66">
        <f>(Dados!$C$25*1000*Dados!$C$10+Esforcos!K44)/Tensoes!D44+Dados!$C$11</f>
        <v/>
      </c>
      <c r="M44" s="66">
        <f>(Esforcos!K44+Dados!$C$28*1000*Dados!$C$10)/Tensoes!D44-Dados!$C$11</f>
        <v/>
      </c>
      <c r="N44" s="66">
        <f>MAX(D44:H44)</f>
        <v/>
      </c>
      <c r="O44" s="66">
        <f>MIN(I44:M44)</f>
        <v/>
      </c>
      <c r="P44" s="71">
        <f>IF(AND(C44&gt;=N44,C44&lt;=O44),"SIM",IF(AND(C44&gt;=MAX(F44:H44),C44&lt;=MIN(K44:M44)),"SIM c/ As,ato","NÃO"))</f>
        <v/>
      </c>
      <c r="Q44" s="66">
        <f>Dados!$C$42</f>
        <v/>
      </c>
    </row>
    <row r="45" ht="15" customHeight="1" s="47">
      <c r="A45" s="63">
        <f>Tracado_Perdas!B45</f>
        <v/>
      </c>
      <c r="B45" s="66">
        <f>Tracado_Perdas!D45</f>
        <v/>
      </c>
      <c r="C45" s="66">
        <f>B45-Hiperestatico!H45/Tensoes!D45</f>
        <v/>
      </c>
      <c r="D45" s="66">
        <f>(Esforcos!D45-Dados!$C$26*1000*Dados!$C$10)/Tensoes!C45-Dados!$C$11</f>
        <v/>
      </c>
      <c r="E45" s="66">
        <f>(Esforcos!D45-Dados!$C$27*1000*Dados!$C$10)/Tensoes!C45+Dados!$C$11</f>
        <v/>
      </c>
      <c r="F45" s="66">
        <f>Esforcos!H45/Tensoes!D45-Dados!$C$11</f>
        <v/>
      </c>
      <c r="G45" s="66">
        <f>(Esforcos!J45-Dados!$C$25*1000*Dados!$C$10)/Tensoes!D45-Dados!$C$11</f>
        <v/>
      </c>
      <c r="H45" s="66">
        <f>(Esforcos!J45-Dados!$C$28*1000*Dados!$C$10)/Tensoes!D45+Dados!$C$11</f>
        <v/>
      </c>
      <c r="I45" s="66">
        <f>(Esforcos!D45+Dados!$C$27*1000*Dados!$C$10)/Tensoes!C45-Dados!$C$11</f>
        <v/>
      </c>
      <c r="J45" s="66">
        <f>(Esforcos!D45+Dados!$C$26*1000*Dados!$C$10)/Tensoes!C45+Dados!$C$11</f>
        <v/>
      </c>
      <c r="K45" s="66">
        <f>Esforcos!I45/Tensoes!D45+Dados!$C$11</f>
        <v/>
      </c>
      <c r="L45" s="66">
        <f>(Dados!$C$25*1000*Dados!$C$10+Esforcos!K45)/Tensoes!D45+Dados!$C$11</f>
        <v/>
      </c>
      <c r="M45" s="66">
        <f>(Esforcos!K45+Dados!$C$28*1000*Dados!$C$10)/Tensoes!D45-Dados!$C$11</f>
        <v/>
      </c>
      <c r="N45" s="66">
        <f>MAX(D45:H45)</f>
        <v/>
      </c>
      <c r="O45" s="66">
        <f>MIN(I45:M45)</f>
        <v/>
      </c>
      <c r="P45" s="71">
        <f>IF(AND(C45&gt;=N45,C45&lt;=O45),"SIM",IF(AND(C45&gt;=MAX(F45:H45),C45&lt;=MIN(K45:M45)),"SIM c/ As,ato","NÃO"))</f>
        <v/>
      </c>
      <c r="Q45" s="66">
        <f>Dados!$C$42</f>
        <v/>
      </c>
    </row>
    <row r="46" ht="15" customHeight="1" s="47">
      <c r="A46" s="63">
        <f>Tracado_Perdas!B46</f>
        <v/>
      </c>
      <c r="B46" s="66">
        <f>Tracado_Perdas!D46</f>
        <v/>
      </c>
      <c r="C46" s="66">
        <f>B46-Hiperestatico!H46/Tensoes!D46</f>
        <v/>
      </c>
      <c r="D46" s="66">
        <f>(Esforcos!D46-Dados!$C$26*1000*Dados!$C$10)/Tensoes!C46-Dados!$C$11</f>
        <v/>
      </c>
      <c r="E46" s="66">
        <f>(Esforcos!D46-Dados!$C$27*1000*Dados!$C$10)/Tensoes!C46+Dados!$C$11</f>
        <v/>
      </c>
      <c r="F46" s="66">
        <f>Esforcos!H46/Tensoes!D46-Dados!$C$11</f>
        <v/>
      </c>
      <c r="G46" s="66">
        <f>(Esforcos!J46-Dados!$C$25*1000*Dados!$C$10)/Tensoes!D46-Dados!$C$11</f>
        <v/>
      </c>
      <c r="H46" s="66">
        <f>(Esforcos!J46-Dados!$C$28*1000*Dados!$C$10)/Tensoes!D46+Dados!$C$11</f>
        <v/>
      </c>
      <c r="I46" s="66">
        <f>(Esforcos!D46+Dados!$C$27*1000*Dados!$C$10)/Tensoes!C46-Dados!$C$11</f>
        <v/>
      </c>
      <c r="J46" s="66">
        <f>(Esforcos!D46+Dados!$C$26*1000*Dados!$C$10)/Tensoes!C46+Dados!$C$11</f>
        <v/>
      </c>
      <c r="K46" s="66">
        <f>Esforcos!I46/Tensoes!D46+Dados!$C$11</f>
        <v/>
      </c>
      <c r="L46" s="66">
        <f>(Dados!$C$25*1000*Dados!$C$10+Esforcos!K46)/Tensoes!D46+Dados!$C$11</f>
        <v/>
      </c>
      <c r="M46" s="66">
        <f>(Esforcos!K46+Dados!$C$28*1000*Dados!$C$10)/Tensoes!D46-Dados!$C$11</f>
        <v/>
      </c>
      <c r="N46" s="66">
        <f>MAX(D46:H46)</f>
        <v/>
      </c>
      <c r="O46" s="66">
        <f>MIN(I46:M46)</f>
        <v/>
      </c>
      <c r="P46" s="71">
        <f>IF(AND(C46&gt;=N46,C46&lt;=O46),"SIM",IF(AND(C46&gt;=MAX(F46:H46),C46&lt;=MIN(K46:M46)),"SIM c/ As,ato","NÃO"))</f>
        <v/>
      </c>
      <c r="Q46" s="66">
        <f>Dados!$C$42</f>
        <v/>
      </c>
    </row>
    <row r="47" ht="15" customHeight="1" s="47">
      <c r="A47" s="63">
        <f>Tracado_Perdas!B47</f>
        <v/>
      </c>
      <c r="B47" s="66">
        <f>Tracado_Perdas!D47</f>
        <v/>
      </c>
      <c r="C47" s="66">
        <f>B47-Hiperestatico!H47/Tensoes!D47</f>
        <v/>
      </c>
      <c r="D47" s="66">
        <f>(Esforcos!D47-Dados!$C$26*1000*Dados!$C$10)/Tensoes!C47-Dados!$C$11</f>
        <v/>
      </c>
      <c r="E47" s="66">
        <f>(Esforcos!D47-Dados!$C$27*1000*Dados!$C$10)/Tensoes!C47+Dados!$C$11</f>
        <v/>
      </c>
      <c r="F47" s="66">
        <f>Esforcos!H47/Tensoes!D47-Dados!$C$11</f>
        <v/>
      </c>
      <c r="G47" s="66">
        <f>(Esforcos!J47-Dados!$C$25*1000*Dados!$C$10)/Tensoes!D47-Dados!$C$11</f>
        <v/>
      </c>
      <c r="H47" s="66">
        <f>(Esforcos!J47-Dados!$C$28*1000*Dados!$C$10)/Tensoes!D47+Dados!$C$11</f>
        <v/>
      </c>
      <c r="I47" s="66">
        <f>(Esforcos!D47+Dados!$C$27*1000*Dados!$C$10)/Tensoes!C47-Dados!$C$11</f>
        <v/>
      </c>
      <c r="J47" s="66">
        <f>(Esforcos!D47+Dados!$C$26*1000*Dados!$C$10)/Tensoes!C47+Dados!$C$11</f>
        <v/>
      </c>
      <c r="K47" s="66">
        <f>Esforcos!I47/Tensoes!D47+Dados!$C$11</f>
        <v/>
      </c>
      <c r="L47" s="66">
        <f>(Dados!$C$25*1000*Dados!$C$10+Esforcos!K47)/Tensoes!D47+Dados!$C$11</f>
        <v/>
      </c>
      <c r="M47" s="66">
        <f>(Esforcos!K47+Dados!$C$28*1000*Dados!$C$10)/Tensoes!D47-Dados!$C$11</f>
        <v/>
      </c>
      <c r="N47" s="66">
        <f>MAX(D47:H47)</f>
        <v/>
      </c>
      <c r="O47" s="66">
        <f>MIN(I47:M47)</f>
        <v/>
      </c>
      <c r="P47" s="71">
        <f>IF(AND(C47&gt;=N47,C47&lt;=O47),"SIM",IF(AND(C47&gt;=MAX(F47:H47),C47&lt;=MIN(K47:M47)),"SIM c/ As,ato","NÃO"))</f>
        <v/>
      </c>
      <c r="Q47" s="66">
        <f>Dados!$C$42</f>
        <v/>
      </c>
    </row>
    <row r="48" ht="15" customHeight="1" s="47">
      <c r="A48" s="63">
        <f>Tracado_Perdas!B48</f>
        <v/>
      </c>
      <c r="B48" s="66">
        <f>Tracado_Perdas!D48</f>
        <v/>
      </c>
      <c r="C48" s="66">
        <f>B48-Hiperestatico!H48/Tensoes!D48</f>
        <v/>
      </c>
      <c r="D48" s="66">
        <f>(Esforcos!D48-Dados!$C$26*1000*Dados!$C$10)/Tensoes!C48-Dados!$C$11</f>
        <v/>
      </c>
      <c r="E48" s="66">
        <f>(Esforcos!D48-Dados!$C$27*1000*Dados!$C$10)/Tensoes!C48+Dados!$C$11</f>
        <v/>
      </c>
      <c r="F48" s="66">
        <f>Esforcos!H48/Tensoes!D48-Dados!$C$11</f>
        <v/>
      </c>
      <c r="G48" s="66">
        <f>(Esforcos!J48-Dados!$C$25*1000*Dados!$C$10)/Tensoes!D48-Dados!$C$11</f>
        <v/>
      </c>
      <c r="H48" s="66">
        <f>(Esforcos!J48-Dados!$C$28*1000*Dados!$C$10)/Tensoes!D48+Dados!$C$11</f>
        <v/>
      </c>
      <c r="I48" s="66">
        <f>(Esforcos!D48+Dados!$C$27*1000*Dados!$C$10)/Tensoes!C48-Dados!$C$11</f>
        <v/>
      </c>
      <c r="J48" s="66">
        <f>(Esforcos!D48+Dados!$C$26*1000*Dados!$C$10)/Tensoes!C48+Dados!$C$11</f>
        <v/>
      </c>
      <c r="K48" s="66">
        <f>Esforcos!I48/Tensoes!D48+Dados!$C$11</f>
        <v/>
      </c>
      <c r="L48" s="66">
        <f>(Dados!$C$25*1000*Dados!$C$10+Esforcos!K48)/Tensoes!D48+Dados!$C$11</f>
        <v/>
      </c>
      <c r="M48" s="66">
        <f>(Esforcos!K48+Dados!$C$28*1000*Dados!$C$10)/Tensoes!D48-Dados!$C$11</f>
        <v/>
      </c>
      <c r="N48" s="66">
        <f>MAX(D48:H48)</f>
        <v/>
      </c>
      <c r="O48" s="66">
        <f>MIN(I48:M48)</f>
        <v/>
      </c>
      <c r="P48" s="71">
        <f>IF(AND(C48&gt;=N48,C48&lt;=O48),"SIM",IF(AND(C48&gt;=MAX(F48:H48),C48&lt;=MIN(K48:M48)),"SIM c/ As,ato","NÃO"))</f>
        <v/>
      </c>
      <c r="Q48" s="66">
        <f>Dados!$C$42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AB4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46" min="1" max="17"/>
    <col width="14" customWidth="1" style="46" min="18" max="18"/>
    <col width="11" customWidth="1" style="46" min="19" max="28"/>
  </cols>
  <sheetData>
    <row r="1" ht="16.15" customHeight="1" s="47">
      <c r="A1" s="59" t="inlineStr">
        <is>
          <t>Força cortante - protensão (Vp), combinações NBR 6118 e estribos (Modelo I)</t>
        </is>
      </c>
    </row>
    <row r="2" ht="15" customHeight="1" s="47">
      <c r="A2" s="49" t="inlineStr">
        <is>
          <t>Metodologia da aula "Força cortante" (Vp = -P·senα; Vsd = 0,9Vp+1,4Vg(+1,4Vq) ou 1,2Vp+1,0Vg(+1,4Vq); β = 1+M0/Msd; τc,cor = β·τc). Estribos por ramo (2 ramos).</t>
        </is>
      </c>
    </row>
    <row r="6" ht="31.5" customHeight="1" s="47">
      <c r="A6" s="60" t="inlineStr">
        <is>
          <t>x</t>
        </is>
      </c>
      <c r="B6" s="60" t="inlineStr">
        <is>
          <t>Vp,iso = -P∞·senα</t>
        </is>
      </c>
      <c r="C6" s="60" t="inlineStr">
        <is>
          <t>V_hip</t>
        </is>
      </c>
      <c r="D6" s="60" t="inlineStr">
        <is>
          <t>Vp total</t>
        </is>
      </c>
      <c r="E6" s="60" t="inlineStr">
        <is>
          <t>Vg</t>
        </is>
      </c>
      <c r="F6" s="60" t="inlineStr">
        <is>
          <t>Vq+</t>
        </is>
      </c>
      <c r="G6" s="60" t="inlineStr">
        <is>
          <t>Vq-</t>
        </is>
      </c>
      <c r="H6" s="60" t="inlineStr">
        <is>
          <t>C1 0,9Vp+1,4Vg</t>
        </is>
      </c>
      <c r="I6" s="60" t="inlineStr">
        <is>
          <t>C2 +1,4Vq+</t>
        </is>
      </c>
      <c r="J6" s="60" t="inlineStr">
        <is>
          <t>C2b +1,4Vq-</t>
        </is>
      </c>
      <c r="K6" s="60" t="inlineStr">
        <is>
          <t>C3 1,2Vp+1,0Vg</t>
        </is>
      </c>
      <c r="L6" s="60" t="inlineStr">
        <is>
          <t>C4 +1,4Vq+</t>
        </is>
      </c>
      <c r="M6" s="60" t="inlineStr">
        <is>
          <t>C4b +1,4Vq-</t>
        </is>
      </c>
      <c r="N6" s="60" t="inlineStr">
        <is>
          <t>Vsd = máx |C|</t>
        </is>
      </c>
      <c r="O6" s="60" t="inlineStr">
        <is>
          <t>Msd+ = 1,4(Mg+Mq+)</t>
        </is>
      </c>
      <c r="P6" s="60" t="inlineStr">
        <is>
          <t>Msd- = 1,4(Mg+Mq-)</t>
        </is>
      </c>
      <c r="Q6" s="60" t="inlineStr">
        <is>
          <t>|Msd|</t>
        </is>
      </c>
      <c r="R6" s="60" t="inlineStr">
        <is>
          <t>|Msd| (máx. entre seções adjacentes)</t>
        </is>
      </c>
      <c r="S6" s="60" t="inlineStr">
        <is>
          <t>M0 (descompressão, γp=0,9)</t>
        </is>
      </c>
      <c r="T6" s="60" t="inlineStr">
        <is>
          <t>β = 1+M0/Msd ≤ 2</t>
        </is>
      </c>
      <c r="U6" s="60" t="inlineStr">
        <is>
          <t>τc,cor = β·τc</t>
        </is>
      </c>
      <c r="V6" s="60" t="inlineStr">
        <is>
          <t>τwd = Vsd/(bw,red·d)</t>
        </is>
      </c>
      <c r="W6" s="60" t="inlineStr">
        <is>
          <t>τd = (τwd-τc,cor)/0,9</t>
        </is>
      </c>
      <c r="X6" s="60" t="inlineStr">
        <is>
          <t>asw/n (por ramo)</t>
        </is>
      </c>
      <c r="Y6" s="60" t="inlineStr">
        <is>
          <t>asw,mín/n</t>
        </is>
      </c>
      <c r="Z6" s="60" t="inlineStr">
        <is>
          <t>asw,calc/n</t>
        </is>
      </c>
      <c r="AA6" s="60" t="inlineStr">
        <is>
          <t>VRd2 = τu·bw,red·d</t>
        </is>
      </c>
      <c r="AB6" s="60" t="inlineStr">
        <is>
          <t>Vsd ≤ VRd2?</t>
        </is>
      </c>
    </row>
    <row r="7" ht="15" customHeight="1" s="47">
      <c r="A7" s="61" t="inlineStr">
        <is>
          <t>m</t>
        </is>
      </c>
      <c r="B7" s="61" t="inlineStr">
        <is>
          <t>kN</t>
        </is>
      </c>
      <c r="C7" s="61" t="inlineStr">
        <is>
          <t>kN</t>
        </is>
      </c>
      <c r="D7" s="61" t="inlineStr">
        <is>
          <t>kN</t>
        </is>
      </c>
      <c r="E7" s="61" t="inlineStr">
        <is>
          <t>kN</t>
        </is>
      </c>
      <c r="F7" s="61" t="inlineStr">
        <is>
          <t>kN</t>
        </is>
      </c>
      <c r="G7" s="61" t="inlineStr">
        <is>
          <t>kN</t>
        </is>
      </c>
      <c r="H7" s="61" t="inlineStr">
        <is>
          <t>kN</t>
        </is>
      </c>
      <c r="I7" s="61" t="inlineStr">
        <is>
          <t>kN</t>
        </is>
      </c>
      <c r="J7" s="61" t="inlineStr">
        <is>
          <t>kN</t>
        </is>
      </c>
      <c r="K7" s="61" t="inlineStr">
        <is>
          <t>kN</t>
        </is>
      </c>
      <c r="L7" s="61" t="inlineStr">
        <is>
          <t>kN</t>
        </is>
      </c>
      <c r="M7" s="61" t="inlineStr">
        <is>
          <t>kN</t>
        </is>
      </c>
      <c r="N7" s="61" t="inlineStr">
        <is>
          <t>kN</t>
        </is>
      </c>
      <c r="O7" s="61" t="inlineStr">
        <is>
          <t>kN·m</t>
        </is>
      </c>
      <c r="P7" s="61" t="inlineStr">
        <is>
          <t>kN·m</t>
        </is>
      </c>
      <c r="Q7" s="61" t="inlineStr">
        <is>
          <t>kN·m</t>
        </is>
      </c>
      <c r="R7" s="61" t="inlineStr">
        <is>
          <t>kN·m</t>
        </is>
      </c>
      <c r="S7" s="61" t="inlineStr">
        <is>
          <t>kN·m</t>
        </is>
      </c>
      <c r="T7" s="61" t="n"/>
      <c r="U7" s="61" t="inlineStr">
        <is>
          <t>MPa</t>
        </is>
      </c>
      <c r="V7" s="61" t="inlineStr">
        <is>
          <t>MPa</t>
        </is>
      </c>
      <c r="W7" s="61" t="inlineStr">
        <is>
          <t>MPa</t>
        </is>
      </c>
      <c r="X7" s="61" t="inlineStr">
        <is>
          <t>cm²/m</t>
        </is>
      </c>
      <c r="Y7" s="61" t="inlineStr">
        <is>
          <t>cm²/m</t>
        </is>
      </c>
      <c r="Z7" s="61" t="inlineStr">
        <is>
          <t>cm²/m</t>
        </is>
      </c>
      <c r="AA7" s="61" t="inlineStr">
        <is>
          <t>kN</t>
        </is>
      </c>
      <c r="AB7" s="61" t="n"/>
    </row>
    <row r="8" ht="15" customHeight="1" s="47">
      <c r="A8" s="63">
        <f>Tracado_Perdas!B8</f>
        <v/>
      </c>
      <c r="B8" s="63">
        <f>-Tracado_Perdas!AB8*Tracado_Perdas!H8</f>
        <v/>
      </c>
      <c r="C8" s="67">
        <f>IF(A8&lt;=Dados!$C$5,-Hiperestatico!$H$4/2,Hiperestatico!$H$4/2)</f>
        <v/>
      </c>
      <c r="D8" s="63">
        <f>B8+C8</f>
        <v/>
      </c>
      <c r="E8" s="63">
        <f>Esforcos!L8</f>
        <v/>
      </c>
      <c r="F8" s="63">
        <f>Esforcos!M8</f>
        <v/>
      </c>
      <c r="G8" s="63">
        <f>Esforcos!N8</f>
        <v/>
      </c>
      <c r="H8" s="63">
        <f>0.9*D8+1.4*E8</f>
        <v/>
      </c>
      <c r="I8" s="63">
        <f>0.9*D8+1.4*E8+1.4*F8</f>
        <v/>
      </c>
      <c r="J8" s="63">
        <f>0.9*D8+1.4*E8+1.4*G8</f>
        <v/>
      </c>
      <c r="K8" s="63">
        <f>1.2*D8+E8</f>
        <v/>
      </c>
      <c r="L8" s="63">
        <f>1.2*D8+E8+1.4*F8</f>
        <v/>
      </c>
      <c r="M8" s="63">
        <f>1.2*D8+E8+1.4*G8</f>
        <v/>
      </c>
      <c r="N8" s="63">
        <f>MAX(ABS(H8),ABS(I8),ABS(J8),ABS(K8),ABS(L8),ABS(M8))</f>
        <v/>
      </c>
      <c r="O8" s="63">
        <f>1.4*Esforcos!J8</f>
        <v/>
      </c>
      <c r="P8" s="63">
        <f>1.4*Esforcos!K8</f>
        <v/>
      </c>
      <c r="Q8" s="63">
        <f>MAX(ABS(O8),ABS(P8))</f>
        <v/>
      </c>
      <c r="R8" s="63">
        <f>MAX(Q8,Q9)</f>
        <v/>
      </c>
      <c r="S8" s="63">
        <f>IF(ABS(O8)&gt;=ABS(P8),0.9*(Tensoes!D8*Dados!$C$11-Tensoes!F8),0.9*(Tensoes!D8*Dados!$C$11+Tensoes!F8))</f>
        <v/>
      </c>
      <c r="T8" s="66">
        <f>MIN(1+S8/MAX(R8,0.000001),2)</f>
        <v/>
      </c>
      <c r="U8" s="66">
        <f>T8*Dados!$C$88</f>
        <v/>
      </c>
      <c r="V8" s="66">
        <f>N8/(Dados!$C$91*Dados!$C$87)/1000</f>
        <v/>
      </c>
      <c r="W8" s="66">
        <f>(V8-U8)/0.9</f>
        <v/>
      </c>
      <c r="X8" s="67">
        <f>MAX(W8,0)/(Dados!$C$84/Dados!$C$62)*Dados!$C$91*10000/2</f>
        <v/>
      </c>
      <c r="Y8" s="67">
        <f>Dados!$C$90*Dados!$C$6*10000/2</f>
        <v/>
      </c>
      <c r="Z8" s="67">
        <f>MAX(X8,Y8)</f>
        <v/>
      </c>
      <c r="AA8" s="63">
        <f>Dados!$C$89*1000*Dados!$C$91*Dados!$C$87</f>
        <v/>
      </c>
      <c r="AB8" s="71">
        <f>IF(N8&lt;=AA8,"OK","NÃO")</f>
        <v/>
      </c>
    </row>
    <row r="9" ht="15" customHeight="1" s="47">
      <c r="A9" s="63">
        <f>Tracado_Perdas!B9</f>
        <v/>
      </c>
      <c r="B9" s="63">
        <f>-Tracado_Perdas!AB9*Tracado_Perdas!H9</f>
        <v/>
      </c>
      <c r="C9" s="67">
        <f>IF(A9&lt;=Dados!$C$5,-Hiperestatico!$H$4/2,Hiperestatico!$H$4/2)</f>
        <v/>
      </c>
      <c r="D9" s="63">
        <f>B9+C9</f>
        <v/>
      </c>
      <c r="E9" s="63">
        <f>Esforcos!L9</f>
        <v/>
      </c>
      <c r="F9" s="63">
        <f>Esforcos!M9</f>
        <v/>
      </c>
      <c r="G9" s="63">
        <f>Esforcos!N9</f>
        <v/>
      </c>
      <c r="H9" s="63">
        <f>0.9*D9+1.4*E9</f>
        <v/>
      </c>
      <c r="I9" s="63">
        <f>0.9*D9+1.4*E9+1.4*F9</f>
        <v/>
      </c>
      <c r="J9" s="63">
        <f>0.9*D9+1.4*E9+1.4*G9</f>
        <v/>
      </c>
      <c r="K9" s="63">
        <f>1.2*D9+E9</f>
        <v/>
      </c>
      <c r="L9" s="63">
        <f>1.2*D9+E9+1.4*F9</f>
        <v/>
      </c>
      <c r="M9" s="63">
        <f>1.2*D9+E9+1.4*G9</f>
        <v/>
      </c>
      <c r="N9" s="63">
        <f>MAX(ABS(H9),ABS(I9),ABS(J9),ABS(K9),ABS(L9),ABS(M9))</f>
        <v/>
      </c>
      <c r="O9" s="63">
        <f>1.4*Esforcos!J9</f>
        <v/>
      </c>
      <c r="P9" s="63">
        <f>1.4*Esforcos!K9</f>
        <v/>
      </c>
      <c r="Q9" s="63">
        <f>MAX(ABS(O9),ABS(P9))</f>
        <v/>
      </c>
      <c r="R9" s="63">
        <f>MAX(Q9,Q8,Q10)</f>
        <v/>
      </c>
      <c r="S9" s="63">
        <f>IF(ABS(O9)&gt;=ABS(P9),0.9*(Tensoes!D9*Dados!$C$11-Tensoes!F9),0.9*(Tensoes!D9*Dados!$C$11+Tensoes!F9))</f>
        <v/>
      </c>
      <c r="T9" s="66">
        <f>MIN(1+S9/MAX(R9,0.000001),2)</f>
        <v/>
      </c>
      <c r="U9" s="66">
        <f>T9*Dados!$C$88</f>
        <v/>
      </c>
      <c r="V9" s="66">
        <f>N9/(Dados!$C$91*Dados!$C$87)/1000</f>
        <v/>
      </c>
      <c r="W9" s="66">
        <f>(V9-U9)/0.9</f>
        <v/>
      </c>
      <c r="X9" s="67">
        <f>MAX(W9,0)/(Dados!$C$84/Dados!$C$62)*Dados!$C$91*10000/2</f>
        <v/>
      </c>
      <c r="Y9" s="67">
        <f>Dados!$C$90*Dados!$C$6*10000/2</f>
        <v/>
      </c>
      <c r="Z9" s="67">
        <f>MAX(X9,Y9)</f>
        <v/>
      </c>
      <c r="AA9" s="63">
        <f>Dados!$C$89*1000*Dados!$C$91*Dados!$C$87</f>
        <v/>
      </c>
      <c r="AB9" s="71">
        <f>IF(N9&lt;=AA9,"OK","NÃO")</f>
        <v/>
      </c>
    </row>
    <row r="10" ht="15" customHeight="1" s="47">
      <c r="A10" s="63">
        <f>Tracado_Perdas!B10</f>
        <v/>
      </c>
      <c r="B10" s="63">
        <f>-Tracado_Perdas!AB10*Tracado_Perdas!H10</f>
        <v/>
      </c>
      <c r="C10" s="67">
        <f>IF(A10&lt;=Dados!$C$5,-Hiperestatico!$H$4/2,Hiperestatico!$H$4/2)</f>
        <v/>
      </c>
      <c r="D10" s="63">
        <f>B10+C10</f>
        <v/>
      </c>
      <c r="E10" s="63">
        <f>Esforcos!L10</f>
        <v/>
      </c>
      <c r="F10" s="63">
        <f>Esforcos!M10</f>
        <v/>
      </c>
      <c r="G10" s="63">
        <f>Esforcos!N10</f>
        <v/>
      </c>
      <c r="H10" s="63">
        <f>0.9*D10+1.4*E10</f>
        <v/>
      </c>
      <c r="I10" s="63">
        <f>0.9*D10+1.4*E10+1.4*F10</f>
        <v/>
      </c>
      <c r="J10" s="63">
        <f>0.9*D10+1.4*E10+1.4*G10</f>
        <v/>
      </c>
      <c r="K10" s="63">
        <f>1.2*D10+E10</f>
        <v/>
      </c>
      <c r="L10" s="63">
        <f>1.2*D10+E10+1.4*F10</f>
        <v/>
      </c>
      <c r="M10" s="63">
        <f>1.2*D10+E10+1.4*G10</f>
        <v/>
      </c>
      <c r="N10" s="63">
        <f>MAX(ABS(H10),ABS(I10),ABS(J10),ABS(K10),ABS(L10),ABS(M10))</f>
        <v/>
      </c>
      <c r="O10" s="63">
        <f>1.4*Esforcos!J10</f>
        <v/>
      </c>
      <c r="P10" s="63">
        <f>1.4*Esforcos!K10</f>
        <v/>
      </c>
      <c r="Q10" s="63">
        <f>MAX(ABS(O10),ABS(P10))</f>
        <v/>
      </c>
      <c r="R10" s="63">
        <f>MAX(Q10,Q9,Q11)</f>
        <v/>
      </c>
      <c r="S10" s="63">
        <f>IF(ABS(O10)&gt;=ABS(P10),0.9*(Tensoes!D10*Dados!$C$11-Tensoes!F10),0.9*(Tensoes!D10*Dados!$C$11+Tensoes!F10))</f>
        <v/>
      </c>
      <c r="T10" s="66">
        <f>MIN(1+S10/MAX(R10,0.000001),2)</f>
        <v/>
      </c>
      <c r="U10" s="66">
        <f>T10*Dados!$C$88</f>
        <v/>
      </c>
      <c r="V10" s="66">
        <f>N10/(Dados!$C$91*Dados!$C$87)/1000</f>
        <v/>
      </c>
      <c r="W10" s="66">
        <f>(V10-U10)/0.9</f>
        <v/>
      </c>
      <c r="X10" s="67">
        <f>MAX(W10,0)/(Dados!$C$84/Dados!$C$62)*Dados!$C$91*10000/2</f>
        <v/>
      </c>
      <c r="Y10" s="67">
        <f>Dados!$C$90*Dados!$C$6*10000/2</f>
        <v/>
      </c>
      <c r="Z10" s="67">
        <f>MAX(X10,Y10)</f>
        <v/>
      </c>
      <c r="AA10" s="63">
        <f>Dados!$C$89*1000*Dados!$C$91*Dados!$C$87</f>
        <v/>
      </c>
      <c r="AB10" s="71">
        <f>IF(N10&lt;=AA10,"OK","NÃO")</f>
        <v/>
      </c>
    </row>
    <row r="11" ht="15" customHeight="1" s="47">
      <c r="A11" s="63">
        <f>Tracado_Perdas!B11</f>
        <v/>
      </c>
      <c r="B11" s="63">
        <f>-Tracado_Perdas!AB11*Tracado_Perdas!H11</f>
        <v/>
      </c>
      <c r="C11" s="67">
        <f>IF(A11&lt;=Dados!$C$5,-Hiperestatico!$H$4/2,Hiperestatico!$H$4/2)</f>
        <v/>
      </c>
      <c r="D11" s="63">
        <f>B11+C11</f>
        <v/>
      </c>
      <c r="E11" s="63">
        <f>Esforcos!L11</f>
        <v/>
      </c>
      <c r="F11" s="63">
        <f>Esforcos!M11</f>
        <v/>
      </c>
      <c r="G11" s="63">
        <f>Esforcos!N11</f>
        <v/>
      </c>
      <c r="H11" s="63">
        <f>0.9*D11+1.4*E11</f>
        <v/>
      </c>
      <c r="I11" s="63">
        <f>0.9*D11+1.4*E11+1.4*F11</f>
        <v/>
      </c>
      <c r="J11" s="63">
        <f>0.9*D11+1.4*E11+1.4*G11</f>
        <v/>
      </c>
      <c r="K11" s="63">
        <f>1.2*D11+E11</f>
        <v/>
      </c>
      <c r="L11" s="63">
        <f>1.2*D11+E11+1.4*F11</f>
        <v/>
      </c>
      <c r="M11" s="63">
        <f>1.2*D11+E11+1.4*G11</f>
        <v/>
      </c>
      <c r="N11" s="63">
        <f>MAX(ABS(H11),ABS(I11),ABS(J11),ABS(K11),ABS(L11),ABS(M11))</f>
        <v/>
      </c>
      <c r="O11" s="63">
        <f>1.4*Esforcos!J11</f>
        <v/>
      </c>
      <c r="P11" s="63">
        <f>1.4*Esforcos!K11</f>
        <v/>
      </c>
      <c r="Q11" s="63">
        <f>MAX(ABS(O11),ABS(P11))</f>
        <v/>
      </c>
      <c r="R11" s="63">
        <f>MAX(Q11,Q10,Q12)</f>
        <v/>
      </c>
      <c r="S11" s="63">
        <f>IF(ABS(O11)&gt;=ABS(P11),0.9*(Tensoes!D11*Dados!$C$11-Tensoes!F11),0.9*(Tensoes!D11*Dados!$C$11+Tensoes!F11))</f>
        <v/>
      </c>
      <c r="T11" s="66">
        <f>MIN(1+S11/MAX(R11,0.000001),2)</f>
        <v/>
      </c>
      <c r="U11" s="66">
        <f>T11*Dados!$C$88</f>
        <v/>
      </c>
      <c r="V11" s="66">
        <f>N11/(Dados!$C$91*Dados!$C$87)/1000</f>
        <v/>
      </c>
      <c r="W11" s="66">
        <f>(V11-U11)/0.9</f>
        <v/>
      </c>
      <c r="X11" s="67">
        <f>MAX(W11,0)/(Dados!$C$84/Dados!$C$62)*Dados!$C$91*10000/2</f>
        <v/>
      </c>
      <c r="Y11" s="67">
        <f>Dados!$C$90*Dados!$C$6*10000/2</f>
        <v/>
      </c>
      <c r="Z11" s="67">
        <f>MAX(X11,Y11)</f>
        <v/>
      </c>
      <c r="AA11" s="63">
        <f>Dados!$C$89*1000*Dados!$C$91*Dados!$C$87</f>
        <v/>
      </c>
      <c r="AB11" s="71">
        <f>IF(N11&lt;=AA11,"OK","NÃO")</f>
        <v/>
      </c>
    </row>
    <row r="12" ht="15" customHeight="1" s="47">
      <c r="A12" s="63">
        <f>Tracado_Perdas!B12</f>
        <v/>
      </c>
      <c r="B12" s="63">
        <f>-Tracado_Perdas!AB12*Tracado_Perdas!H12</f>
        <v/>
      </c>
      <c r="C12" s="67">
        <f>IF(A12&lt;=Dados!$C$5,-Hiperestatico!$H$4/2,Hiperestatico!$H$4/2)</f>
        <v/>
      </c>
      <c r="D12" s="63">
        <f>B12+C12</f>
        <v/>
      </c>
      <c r="E12" s="63">
        <f>Esforcos!L12</f>
        <v/>
      </c>
      <c r="F12" s="63">
        <f>Esforcos!M12</f>
        <v/>
      </c>
      <c r="G12" s="63">
        <f>Esforcos!N12</f>
        <v/>
      </c>
      <c r="H12" s="63">
        <f>0.9*D12+1.4*E12</f>
        <v/>
      </c>
      <c r="I12" s="63">
        <f>0.9*D12+1.4*E12+1.4*F12</f>
        <v/>
      </c>
      <c r="J12" s="63">
        <f>0.9*D12+1.4*E12+1.4*G12</f>
        <v/>
      </c>
      <c r="K12" s="63">
        <f>1.2*D12+E12</f>
        <v/>
      </c>
      <c r="L12" s="63">
        <f>1.2*D12+E12+1.4*F12</f>
        <v/>
      </c>
      <c r="M12" s="63">
        <f>1.2*D12+E12+1.4*G12</f>
        <v/>
      </c>
      <c r="N12" s="63">
        <f>MAX(ABS(H12),ABS(I12),ABS(J12),ABS(K12),ABS(L12),ABS(M12))</f>
        <v/>
      </c>
      <c r="O12" s="63">
        <f>1.4*Esforcos!J12</f>
        <v/>
      </c>
      <c r="P12" s="63">
        <f>1.4*Esforcos!K12</f>
        <v/>
      </c>
      <c r="Q12" s="63">
        <f>MAX(ABS(O12),ABS(P12))</f>
        <v/>
      </c>
      <c r="R12" s="63">
        <f>MAX(Q12,Q11,Q13)</f>
        <v/>
      </c>
      <c r="S12" s="63">
        <f>IF(ABS(O12)&gt;=ABS(P12),0.9*(Tensoes!D12*Dados!$C$11-Tensoes!F12),0.9*(Tensoes!D12*Dados!$C$11+Tensoes!F12))</f>
        <v/>
      </c>
      <c r="T12" s="66">
        <f>MIN(1+S12/MAX(R12,0.000001),2)</f>
        <v/>
      </c>
      <c r="U12" s="66">
        <f>T12*Dados!$C$88</f>
        <v/>
      </c>
      <c r="V12" s="66">
        <f>N12/(Dados!$C$91*Dados!$C$87)/1000</f>
        <v/>
      </c>
      <c r="W12" s="66">
        <f>(V12-U12)/0.9</f>
        <v/>
      </c>
      <c r="X12" s="67">
        <f>MAX(W12,0)/(Dados!$C$84/Dados!$C$62)*Dados!$C$91*10000/2</f>
        <v/>
      </c>
      <c r="Y12" s="67">
        <f>Dados!$C$90*Dados!$C$6*10000/2</f>
        <v/>
      </c>
      <c r="Z12" s="67">
        <f>MAX(X12,Y12)</f>
        <v/>
      </c>
      <c r="AA12" s="63">
        <f>Dados!$C$89*1000*Dados!$C$91*Dados!$C$87</f>
        <v/>
      </c>
      <c r="AB12" s="71">
        <f>IF(N12&lt;=AA12,"OK","NÃO")</f>
        <v/>
      </c>
    </row>
    <row r="13" ht="15" customHeight="1" s="47">
      <c r="A13" s="63">
        <f>Tracado_Perdas!B13</f>
        <v/>
      </c>
      <c r="B13" s="63">
        <f>-Tracado_Perdas!AB13*Tracado_Perdas!H13</f>
        <v/>
      </c>
      <c r="C13" s="67">
        <f>IF(A13&lt;=Dados!$C$5,-Hiperestatico!$H$4/2,Hiperestatico!$H$4/2)</f>
        <v/>
      </c>
      <c r="D13" s="63">
        <f>B13+C13</f>
        <v/>
      </c>
      <c r="E13" s="63">
        <f>Esforcos!L13</f>
        <v/>
      </c>
      <c r="F13" s="63">
        <f>Esforcos!M13</f>
        <v/>
      </c>
      <c r="G13" s="63">
        <f>Esforcos!N13</f>
        <v/>
      </c>
      <c r="H13" s="63">
        <f>0.9*D13+1.4*E13</f>
        <v/>
      </c>
      <c r="I13" s="63">
        <f>0.9*D13+1.4*E13+1.4*F13</f>
        <v/>
      </c>
      <c r="J13" s="63">
        <f>0.9*D13+1.4*E13+1.4*G13</f>
        <v/>
      </c>
      <c r="K13" s="63">
        <f>1.2*D13+E13</f>
        <v/>
      </c>
      <c r="L13" s="63">
        <f>1.2*D13+E13+1.4*F13</f>
        <v/>
      </c>
      <c r="M13" s="63">
        <f>1.2*D13+E13+1.4*G13</f>
        <v/>
      </c>
      <c r="N13" s="63">
        <f>MAX(ABS(H13),ABS(I13),ABS(J13),ABS(K13),ABS(L13),ABS(M13))</f>
        <v/>
      </c>
      <c r="O13" s="63">
        <f>1.4*Esforcos!J13</f>
        <v/>
      </c>
      <c r="P13" s="63">
        <f>1.4*Esforcos!K13</f>
        <v/>
      </c>
      <c r="Q13" s="63">
        <f>MAX(ABS(O13),ABS(P13))</f>
        <v/>
      </c>
      <c r="R13" s="63">
        <f>MAX(Q13,Q12,Q14)</f>
        <v/>
      </c>
      <c r="S13" s="63">
        <f>IF(ABS(O13)&gt;=ABS(P13),0.9*(Tensoes!D13*Dados!$C$11-Tensoes!F13),0.9*(Tensoes!D13*Dados!$C$11+Tensoes!F13))</f>
        <v/>
      </c>
      <c r="T13" s="66">
        <f>MIN(1+S13/MAX(R13,0.000001),2)</f>
        <v/>
      </c>
      <c r="U13" s="66">
        <f>T13*Dados!$C$88</f>
        <v/>
      </c>
      <c r="V13" s="66">
        <f>N13/(Dados!$C$91*Dados!$C$87)/1000</f>
        <v/>
      </c>
      <c r="W13" s="66">
        <f>(V13-U13)/0.9</f>
        <v/>
      </c>
      <c r="X13" s="67">
        <f>MAX(W13,0)/(Dados!$C$84/Dados!$C$62)*Dados!$C$91*10000/2</f>
        <v/>
      </c>
      <c r="Y13" s="67">
        <f>Dados!$C$90*Dados!$C$6*10000/2</f>
        <v/>
      </c>
      <c r="Z13" s="67">
        <f>MAX(X13,Y13)</f>
        <v/>
      </c>
      <c r="AA13" s="63">
        <f>Dados!$C$89*1000*Dados!$C$91*Dados!$C$87</f>
        <v/>
      </c>
      <c r="AB13" s="71">
        <f>IF(N13&lt;=AA13,"OK","NÃO")</f>
        <v/>
      </c>
    </row>
    <row r="14" ht="15" customHeight="1" s="47">
      <c r="A14" s="63">
        <f>Tracado_Perdas!B14</f>
        <v/>
      </c>
      <c r="B14" s="63">
        <f>-Tracado_Perdas!AB14*Tracado_Perdas!H14</f>
        <v/>
      </c>
      <c r="C14" s="67">
        <f>IF(A14&lt;=Dados!$C$5,-Hiperestatico!$H$4/2,Hiperestatico!$H$4/2)</f>
        <v/>
      </c>
      <c r="D14" s="63">
        <f>B14+C14</f>
        <v/>
      </c>
      <c r="E14" s="63">
        <f>Esforcos!L14</f>
        <v/>
      </c>
      <c r="F14" s="63">
        <f>Esforcos!M14</f>
        <v/>
      </c>
      <c r="G14" s="63">
        <f>Esforcos!N14</f>
        <v/>
      </c>
      <c r="H14" s="63">
        <f>0.9*D14+1.4*E14</f>
        <v/>
      </c>
      <c r="I14" s="63">
        <f>0.9*D14+1.4*E14+1.4*F14</f>
        <v/>
      </c>
      <c r="J14" s="63">
        <f>0.9*D14+1.4*E14+1.4*G14</f>
        <v/>
      </c>
      <c r="K14" s="63">
        <f>1.2*D14+E14</f>
        <v/>
      </c>
      <c r="L14" s="63">
        <f>1.2*D14+E14+1.4*F14</f>
        <v/>
      </c>
      <c r="M14" s="63">
        <f>1.2*D14+E14+1.4*G14</f>
        <v/>
      </c>
      <c r="N14" s="63">
        <f>MAX(ABS(H14),ABS(I14),ABS(J14),ABS(K14),ABS(L14),ABS(M14))</f>
        <v/>
      </c>
      <c r="O14" s="63">
        <f>1.4*Esforcos!J14</f>
        <v/>
      </c>
      <c r="P14" s="63">
        <f>1.4*Esforcos!K14</f>
        <v/>
      </c>
      <c r="Q14" s="63">
        <f>MAX(ABS(O14),ABS(P14))</f>
        <v/>
      </c>
      <c r="R14" s="63">
        <f>MAX(Q14,Q13,Q15)</f>
        <v/>
      </c>
      <c r="S14" s="63">
        <f>IF(ABS(O14)&gt;=ABS(P14),0.9*(Tensoes!D14*Dados!$C$11-Tensoes!F14),0.9*(Tensoes!D14*Dados!$C$11+Tensoes!F14))</f>
        <v/>
      </c>
      <c r="T14" s="66">
        <f>MIN(1+S14/MAX(R14,0.000001),2)</f>
        <v/>
      </c>
      <c r="U14" s="66">
        <f>T14*Dados!$C$88</f>
        <v/>
      </c>
      <c r="V14" s="66">
        <f>N14/(Dados!$C$91*Dados!$C$87)/1000</f>
        <v/>
      </c>
      <c r="W14" s="66">
        <f>(V14-U14)/0.9</f>
        <v/>
      </c>
      <c r="X14" s="67">
        <f>MAX(W14,0)/(Dados!$C$84/Dados!$C$62)*Dados!$C$91*10000/2</f>
        <v/>
      </c>
      <c r="Y14" s="67">
        <f>Dados!$C$90*Dados!$C$6*10000/2</f>
        <v/>
      </c>
      <c r="Z14" s="67">
        <f>MAX(X14,Y14)</f>
        <v/>
      </c>
      <c r="AA14" s="63">
        <f>Dados!$C$89*1000*Dados!$C$91*Dados!$C$87</f>
        <v/>
      </c>
      <c r="AB14" s="71">
        <f>IF(N14&lt;=AA14,"OK","NÃO")</f>
        <v/>
      </c>
    </row>
    <row r="15" ht="15" customHeight="1" s="47">
      <c r="A15" s="63">
        <f>Tracado_Perdas!B15</f>
        <v/>
      </c>
      <c r="B15" s="63">
        <f>-Tracado_Perdas!AB15*Tracado_Perdas!H15</f>
        <v/>
      </c>
      <c r="C15" s="67">
        <f>IF(A15&lt;=Dados!$C$5,-Hiperestatico!$H$4/2,Hiperestatico!$H$4/2)</f>
        <v/>
      </c>
      <c r="D15" s="63">
        <f>B15+C15</f>
        <v/>
      </c>
      <c r="E15" s="63">
        <f>Esforcos!L15</f>
        <v/>
      </c>
      <c r="F15" s="63">
        <f>Esforcos!M15</f>
        <v/>
      </c>
      <c r="G15" s="63">
        <f>Esforcos!N15</f>
        <v/>
      </c>
      <c r="H15" s="63">
        <f>0.9*D15+1.4*E15</f>
        <v/>
      </c>
      <c r="I15" s="63">
        <f>0.9*D15+1.4*E15+1.4*F15</f>
        <v/>
      </c>
      <c r="J15" s="63">
        <f>0.9*D15+1.4*E15+1.4*G15</f>
        <v/>
      </c>
      <c r="K15" s="63">
        <f>1.2*D15+E15</f>
        <v/>
      </c>
      <c r="L15" s="63">
        <f>1.2*D15+E15+1.4*F15</f>
        <v/>
      </c>
      <c r="M15" s="63">
        <f>1.2*D15+E15+1.4*G15</f>
        <v/>
      </c>
      <c r="N15" s="63">
        <f>MAX(ABS(H15),ABS(I15),ABS(J15),ABS(K15),ABS(L15),ABS(M15))</f>
        <v/>
      </c>
      <c r="O15" s="63">
        <f>1.4*Esforcos!J15</f>
        <v/>
      </c>
      <c r="P15" s="63">
        <f>1.4*Esforcos!K15</f>
        <v/>
      </c>
      <c r="Q15" s="63">
        <f>MAX(ABS(O15),ABS(P15))</f>
        <v/>
      </c>
      <c r="R15" s="63">
        <f>MAX(Q15,Q14,Q16)</f>
        <v/>
      </c>
      <c r="S15" s="63">
        <f>IF(ABS(O15)&gt;=ABS(P15),0.9*(Tensoes!D15*Dados!$C$11-Tensoes!F15),0.9*(Tensoes!D15*Dados!$C$11+Tensoes!F15))</f>
        <v/>
      </c>
      <c r="T15" s="66">
        <f>MIN(1+S15/MAX(R15,0.000001),2)</f>
        <v/>
      </c>
      <c r="U15" s="66">
        <f>T15*Dados!$C$88</f>
        <v/>
      </c>
      <c r="V15" s="66">
        <f>N15/(Dados!$C$91*Dados!$C$87)/1000</f>
        <v/>
      </c>
      <c r="W15" s="66">
        <f>(V15-U15)/0.9</f>
        <v/>
      </c>
      <c r="X15" s="67">
        <f>MAX(W15,0)/(Dados!$C$84/Dados!$C$62)*Dados!$C$91*10000/2</f>
        <v/>
      </c>
      <c r="Y15" s="67">
        <f>Dados!$C$90*Dados!$C$6*10000/2</f>
        <v/>
      </c>
      <c r="Z15" s="67">
        <f>MAX(X15,Y15)</f>
        <v/>
      </c>
      <c r="AA15" s="63">
        <f>Dados!$C$89*1000*Dados!$C$91*Dados!$C$87</f>
        <v/>
      </c>
      <c r="AB15" s="71">
        <f>IF(N15&lt;=AA15,"OK","NÃO")</f>
        <v/>
      </c>
    </row>
    <row r="16" ht="15" customHeight="1" s="47">
      <c r="A16" s="63">
        <f>Tracado_Perdas!B16</f>
        <v/>
      </c>
      <c r="B16" s="63">
        <f>-Tracado_Perdas!AB16*Tracado_Perdas!H16</f>
        <v/>
      </c>
      <c r="C16" s="67">
        <f>IF(A16&lt;=Dados!$C$5,-Hiperestatico!$H$4/2,Hiperestatico!$H$4/2)</f>
        <v/>
      </c>
      <c r="D16" s="63">
        <f>B16+C16</f>
        <v/>
      </c>
      <c r="E16" s="63">
        <f>Esforcos!L16</f>
        <v/>
      </c>
      <c r="F16" s="63">
        <f>Esforcos!M16</f>
        <v/>
      </c>
      <c r="G16" s="63">
        <f>Esforcos!N16</f>
        <v/>
      </c>
      <c r="H16" s="63">
        <f>0.9*D16+1.4*E16</f>
        <v/>
      </c>
      <c r="I16" s="63">
        <f>0.9*D16+1.4*E16+1.4*F16</f>
        <v/>
      </c>
      <c r="J16" s="63">
        <f>0.9*D16+1.4*E16+1.4*G16</f>
        <v/>
      </c>
      <c r="K16" s="63">
        <f>1.2*D16+E16</f>
        <v/>
      </c>
      <c r="L16" s="63">
        <f>1.2*D16+E16+1.4*F16</f>
        <v/>
      </c>
      <c r="M16" s="63">
        <f>1.2*D16+E16+1.4*G16</f>
        <v/>
      </c>
      <c r="N16" s="63">
        <f>MAX(ABS(H16),ABS(I16),ABS(J16),ABS(K16),ABS(L16),ABS(M16))</f>
        <v/>
      </c>
      <c r="O16" s="63">
        <f>1.4*Esforcos!J16</f>
        <v/>
      </c>
      <c r="P16" s="63">
        <f>1.4*Esforcos!K16</f>
        <v/>
      </c>
      <c r="Q16" s="63">
        <f>MAX(ABS(O16),ABS(P16))</f>
        <v/>
      </c>
      <c r="R16" s="63">
        <f>MAX(Q16,Q15,Q17)</f>
        <v/>
      </c>
      <c r="S16" s="63">
        <f>IF(ABS(O16)&gt;=ABS(P16),0.9*(Tensoes!D16*Dados!$C$11-Tensoes!F16),0.9*(Tensoes!D16*Dados!$C$11+Tensoes!F16))</f>
        <v/>
      </c>
      <c r="T16" s="66">
        <f>MIN(1+S16/MAX(R16,0.000001),2)</f>
        <v/>
      </c>
      <c r="U16" s="66">
        <f>T16*Dados!$C$88</f>
        <v/>
      </c>
      <c r="V16" s="66">
        <f>N16/(Dados!$C$91*Dados!$C$87)/1000</f>
        <v/>
      </c>
      <c r="W16" s="66">
        <f>(V16-U16)/0.9</f>
        <v/>
      </c>
      <c r="X16" s="67">
        <f>MAX(W16,0)/(Dados!$C$84/Dados!$C$62)*Dados!$C$91*10000/2</f>
        <v/>
      </c>
      <c r="Y16" s="67">
        <f>Dados!$C$90*Dados!$C$6*10000/2</f>
        <v/>
      </c>
      <c r="Z16" s="67">
        <f>MAX(X16,Y16)</f>
        <v/>
      </c>
      <c r="AA16" s="63">
        <f>Dados!$C$89*1000*Dados!$C$91*Dados!$C$87</f>
        <v/>
      </c>
      <c r="AB16" s="71">
        <f>IF(N16&lt;=AA16,"OK","NÃO")</f>
        <v/>
      </c>
    </row>
    <row r="17" ht="15" customHeight="1" s="47">
      <c r="A17" s="63">
        <f>Tracado_Perdas!B17</f>
        <v/>
      </c>
      <c r="B17" s="63">
        <f>-Tracado_Perdas!AB17*Tracado_Perdas!H17</f>
        <v/>
      </c>
      <c r="C17" s="67">
        <f>IF(A17&lt;=Dados!$C$5,-Hiperestatico!$H$4/2,Hiperestatico!$H$4/2)</f>
        <v/>
      </c>
      <c r="D17" s="63">
        <f>B17+C17</f>
        <v/>
      </c>
      <c r="E17" s="63">
        <f>Esforcos!L17</f>
        <v/>
      </c>
      <c r="F17" s="63">
        <f>Esforcos!M17</f>
        <v/>
      </c>
      <c r="G17" s="63">
        <f>Esforcos!N17</f>
        <v/>
      </c>
      <c r="H17" s="63">
        <f>0.9*D17+1.4*E17</f>
        <v/>
      </c>
      <c r="I17" s="63">
        <f>0.9*D17+1.4*E17+1.4*F17</f>
        <v/>
      </c>
      <c r="J17" s="63">
        <f>0.9*D17+1.4*E17+1.4*G17</f>
        <v/>
      </c>
      <c r="K17" s="63">
        <f>1.2*D17+E17</f>
        <v/>
      </c>
      <c r="L17" s="63">
        <f>1.2*D17+E17+1.4*F17</f>
        <v/>
      </c>
      <c r="M17" s="63">
        <f>1.2*D17+E17+1.4*G17</f>
        <v/>
      </c>
      <c r="N17" s="63">
        <f>MAX(ABS(H17),ABS(I17),ABS(J17),ABS(K17),ABS(L17),ABS(M17))</f>
        <v/>
      </c>
      <c r="O17" s="63">
        <f>1.4*Esforcos!J17</f>
        <v/>
      </c>
      <c r="P17" s="63">
        <f>1.4*Esforcos!K17</f>
        <v/>
      </c>
      <c r="Q17" s="63">
        <f>MAX(ABS(O17),ABS(P17))</f>
        <v/>
      </c>
      <c r="R17" s="63">
        <f>MAX(Q17,Q16,Q18)</f>
        <v/>
      </c>
      <c r="S17" s="63">
        <f>IF(ABS(O17)&gt;=ABS(P17),0.9*(Tensoes!D17*Dados!$C$11-Tensoes!F17),0.9*(Tensoes!D17*Dados!$C$11+Tensoes!F17))</f>
        <v/>
      </c>
      <c r="T17" s="66">
        <f>MIN(1+S17/MAX(R17,0.000001),2)</f>
        <v/>
      </c>
      <c r="U17" s="66">
        <f>T17*Dados!$C$88</f>
        <v/>
      </c>
      <c r="V17" s="66">
        <f>N17/(Dados!$C$91*Dados!$C$87)/1000</f>
        <v/>
      </c>
      <c r="W17" s="66">
        <f>(V17-U17)/0.9</f>
        <v/>
      </c>
      <c r="X17" s="67">
        <f>MAX(W17,0)/(Dados!$C$84/Dados!$C$62)*Dados!$C$91*10000/2</f>
        <v/>
      </c>
      <c r="Y17" s="67">
        <f>Dados!$C$90*Dados!$C$6*10000/2</f>
        <v/>
      </c>
      <c r="Z17" s="67">
        <f>MAX(X17,Y17)</f>
        <v/>
      </c>
      <c r="AA17" s="63">
        <f>Dados!$C$89*1000*Dados!$C$91*Dados!$C$87</f>
        <v/>
      </c>
      <c r="AB17" s="71">
        <f>IF(N17&lt;=AA17,"OK","NÃO")</f>
        <v/>
      </c>
    </row>
    <row r="18" ht="15" customHeight="1" s="47">
      <c r="A18" s="63">
        <f>Tracado_Perdas!B18</f>
        <v/>
      </c>
      <c r="B18" s="63">
        <f>-Tracado_Perdas!AB18*Tracado_Perdas!H18</f>
        <v/>
      </c>
      <c r="C18" s="67">
        <f>IF(A18&lt;=Dados!$C$5,-Hiperestatico!$H$4/2,Hiperestatico!$H$4/2)</f>
        <v/>
      </c>
      <c r="D18" s="63">
        <f>B18+C18</f>
        <v/>
      </c>
      <c r="E18" s="63">
        <f>Esforcos!L18</f>
        <v/>
      </c>
      <c r="F18" s="63">
        <f>Esforcos!M18</f>
        <v/>
      </c>
      <c r="G18" s="63">
        <f>Esforcos!N18</f>
        <v/>
      </c>
      <c r="H18" s="63">
        <f>0.9*D18+1.4*E18</f>
        <v/>
      </c>
      <c r="I18" s="63">
        <f>0.9*D18+1.4*E18+1.4*F18</f>
        <v/>
      </c>
      <c r="J18" s="63">
        <f>0.9*D18+1.4*E18+1.4*G18</f>
        <v/>
      </c>
      <c r="K18" s="63">
        <f>1.2*D18+E18</f>
        <v/>
      </c>
      <c r="L18" s="63">
        <f>1.2*D18+E18+1.4*F18</f>
        <v/>
      </c>
      <c r="M18" s="63">
        <f>1.2*D18+E18+1.4*G18</f>
        <v/>
      </c>
      <c r="N18" s="63">
        <f>MAX(ABS(H18),ABS(I18),ABS(J18),ABS(K18),ABS(L18),ABS(M18))</f>
        <v/>
      </c>
      <c r="O18" s="63">
        <f>1.4*Esforcos!J18</f>
        <v/>
      </c>
      <c r="P18" s="63">
        <f>1.4*Esforcos!K18</f>
        <v/>
      </c>
      <c r="Q18" s="63">
        <f>MAX(ABS(O18),ABS(P18))</f>
        <v/>
      </c>
      <c r="R18" s="63">
        <f>MAX(Q18,Q17,Q19)</f>
        <v/>
      </c>
      <c r="S18" s="63">
        <f>IF(ABS(O18)&gt;=ABS(P18),0.9*(Tensoes!D18*Dados!$C$11-Tensoes!F18),0.9*(Tensoes!D18*Dados!$C$11+Tensoes!F18))</f>
        <v/>
      </c>
      <c r="T18" s="66">
        <f>MIN(1+S18/MAX(R18,0.000001),2)</f>
        <v/>
      </c>
      <c r="U18" s="66">
        <f>T18*Dados!$C$88</f>
        <v/>
      </c>
      <c r="V18" s="66">
        <f>N18/(Dados!$C$91*Dados!$C$87)/1000</f>
        <v/>
      </c>
      <c r="W18" s="66">
        <f>(V18-U18)/0.9</f>
        <v/>
      </c>
      <c r="X18" s="67">
        <f>MAX(W18,0)/(Dados!$C$84/Dados!$C$62)*Dados!$C$91*10000/2</f>
        <v/>
      </c>
      <c r="Y18" s="67">
        <f>Dados!$C$90*Dados!$C$6*10000/2</f>
        <v/>
      </c>
      <c r="Z18" s="67">
        <f>MAX(X18,Y18)</f>
        <v/>
      </c>
      <c r="AA18" s="63">
        <f>Dados!$C$89*1000*Dados!$C$91*Dados!$C$87</f>
        <v/>
      </c>
      <c r="AB18" s="71">
        <f>IF(N18&lt;=AA18,"OK","NÃO")</f>
        <v/>
      </c>
    </row>
    <row r="19" ht="15" customHeight="1" s="47">
      <c r="A19" s="63">
        <f>Tracado_Perdas!B19</f>
        <v/>
      </c>
      <c r="B19" s="63">
        <f>-Tracado_Perdas!AB19*Tracado_Perdas!H19</f>
        <v/>
      </c>
      <c r="C19" s="67">
        <f>IF(A19&lt;=Dados!$C$5,-Hiperestatico!$H$4/2,Hiperestatico!$H$4/2)</f>
        <v/>
      </c>
      <c r="D19" s="63">
        <f>B19+C19</f>
        <v/>
      </c>
      <c r="E19" s="63">
        <f>Esforcos!L19</f>
        <v/>
      </c>
      <c r="F19" s="63">
        <f>Esforcos!M19</f>
        <v/>
      </c>
      <c r="G19" s="63">
        <f>Esforcos!N19</f>
        <v/>
      </c>
      <c r="H19" s="63">
        <f>0.9*D19+1.4*E19</f>
        <v/>
      </c>
      <c r="I19" s="63">
        <f>0.9*D19+1.4*E19+1.4*F19</f>
        <v/>
      </c>
      <c r="J19" s="63">
        <f>0.9*D19+1.4*E19+1.4*G19</f>
        <v/>
      </c>
      <c r="K19" s="63">
        <f>1.2*D19+E19</f>
        <v/>
      </c>
      <c r="L19" s="63">
        <f>1.2*D19+E19+1.4*F19</f>
        <v/>
      </c>
      <c r="M19" s="63">
        <f>1.2*D19+E19+1.4*G19</f>
        <v/>
      </c>
      <c r="N19" s="63">
        <f>MAX(ABS(H19),ABS(I19),ABS(J19),ABS(K19),ABS(L19),ABS(M19))</f>
        <v/>
      </c>
      <c r="O19" s="63">
        <f>1.4*Esforcos!J19</f>
        <v/>
      </c>
      <c r="P19" s="63">
        <f>1.4*Esforcos!K19</f>
        <v/>
      </c>
      <c r="Q19" s="63">
        <f>MAX(ABS(O19),ABS(P19))</f>
        <v/>
      </c>
      <c r="R19" s="63">
        <f>MAX(Q19,Q18,Q20)</f>
        <v/>
      </c>
      <c r="S19" s="63">
        <f>IF(ABS(O19)&gt;=ABS(P19),0.9*(Tensoes!D19*Dados!$C$11-Tensoes!F19),0.9*(Tensoes!D19*Dados!$C$11+Tensoes!F19))</f>
        <v/>
      </c>
      <c r="T19" s="66">
        <f>MIN(1+S19/MAX(R19,0.000001),2)</f>
        <v/>
      </c>
      <c r="U19" s="66">
        <f>T19*Dados!$C$88</f>
        <v/>
      </c>
      <c r="V19" s="66">
        <f>N19/(Dados!$C$91*Dados!$C$87)/1000</f>
        <v/>
      </c>
      <c r="W19" s="66">
        <f>(V19-U19)/0.9</f>
        <v/>
      </c>
      <c r="X19" s="67">
        <f>MAX(W19,0)/(Dados!$C$84/Dados!$C$62)*Dados!$C$91*10000/2</f>
        <v/>
      </c>
      <c r="Y19" s="67">
        <f>Dados!$C$90*Dados!$C$6*10000/2</f>
        <v/>
      </c>
      <c r="Z19" s="67">
        <f>MAX(X19,Y19)</f>
        <v/>
      </c>
      <c r="AA19" s="63">
        <f>Dados!$C$89*1000*Dados!$C$91*Dados!$C$87</f>
        <v/>
      </c>
      <c r="AB19" s="71">
        <f>IF(N19&lt;=AA19,"OK","NÃO")</f>
        <v/>
      </c>
    </row>
    <row r="20" ht="15" customHeight="1" s="47">
      <c r="A20" s="63">
        <f>Tracado_Perdas!B20</f>
        <v/>
      </c>
      <c r="B20" s="63">
        <f>-Tracado_Perdas!AB20*Tracado_Perdas!H20</f>
        <v/>
      </c>
      <c r="C20" s="67">
        <f>IF(A20&lt;=Dados!$C$5,-Hiperestatico!$H$4/2,Hiperestatico!$H$4/2)</f>
        <v/>
      </c>
      <c r="D20" s="63">
        <f>B20+C20</f>
        <v/>
      </c>
      <c r="E20" s="63">
        <f>Esforcos!L20</f>
        <v/>
      </c>
      <c r="F20" s="63">
        <f>Esforcos!M20</f>
        <v/>
      </c>
      <c r="G20" s="63">
        <f>Esforcos!N20</f>
        <v/>
      </c>
      <c r="H20" s="63">
        <f>0.9*D20+1.4*E20</f>
        <v/>
      </c>
      <c r="I20" s="63">
        <f>0.9*D20+1.4*E20+1.4*F20</f>
        <v/>
      </c>
      <c r="J20" s="63">
        <f>0.9*D20+1.4*E20+1.4*G20</f>
        <v/>
      </c>
      <c r="K20" s="63">
        <f>1.2*D20+E20</f>
        <v/>
      </c>
      <c r="L20" s="63">
        <f>1.2*D20+E20+1.4*F20</f>
        <v/>
      </c>
      <c r="M20" s="63">
        <f>1.2*D20+E20+1.4*G20</f>
        <v/>
      </c>
      <c r="N20" s="63">
        <f>MAX(ABS(H20),ABS(I20),ABS(J20),ABS(K20),ABS(L20),ABS(M20))</f>
        <v/>
      </c>
      <c r="O20" s="63">
        <f>1.4*Esforcos!J20</f>
        <v/>
      </c>
      <c r="P20" s="63">
        <f>1.4*Esforcos!K20</f>
        <v/>
      </c>
      <c r="Q20" s="63">
        <f>MAX(ABS(O20),ABS(P20))</f>
        <v/>
      </c>
      <c r="R20" s="63">
        <f>MAX(Q20,Q19,Q21)</f>
        <v/>
      </c>
      <c r="S20" s="63">
        <f>IF(ABS(O20)&gt;=ABS(P20),0.9*(Tensoes!D20*Dados!$C$11-Tensoes!F20),0.9*(Tensoes!D20*Dados!$C$11+Tensoes!F20))</f>
        <v/>
      </c>
      <c r="T20" s="66">
        <f>MIN(1+S20/MAX(R20,0.000001),2)</f>
        <v/>
      </c>
      <c r="U20" s="66">
        <f>T20*Dados!$C$88</f>
        <v/>
      </c>
      <c r="V20" s="66">
        <f>N20/(Dados!$C$91*Dados!$C$87)/1000</f>
        <v/>
      </c>
      <c r="W20" s="66">
        <f>(V20-U20)/0.9</f>
        <v/>
      </c>
      <c r="X20" s="67">
        <f>MAX(W20,0)/(Dados!$C$84/Dados!$C$62)*Dados!$C$91*10000/2</f>
        <v/>
      </c>
      <c r="Y20" s="67">
        <f>Dados!$C$90*Dados!$C$6*10000/2</f>
        <v/>
      </c>
      <c r="Z20" s="67">
        <f>MAX(X20,Y20)</f>
        <v/>
      </c>
      <c r="AA20" s="63">
        <f>Dados!$C$89*1000*Dados!$C$91*Dados!$C$87</f>
        <v/>
      </c>
      <c r="AB20" s="71">
        <f>IF(N20&lt;=AA20,"OK","NÃO")</f>
        <v/>
      </c>
    </row>
    <row r="21" ht="15" customHeight="1" s="47">
      <c r="A21" s="63">
        <f>Tracado_Perdas!B21</f>
        <v/>
      </c>
      <c r="B21" s="63">
        <f>-Tracado_Perdas!AB21*Tracado_Perdas!H21</f>
        <v/>
      </c>
      <c r="C21" s="67">
        <f>IF(A21&lt;=Dados!$C$5,-Hiperestatico!$H$4/2,Hiperestatico!$H$4/2)</f>
        <v/>
      </c>
      <c r="D21" s="63">
        <f>B21+C21</f>
        <v/>
      </c>
      <c r="E21" s="63">
        <f>Esforcos!L21</f>
        <v/>
      </c>
      <c r="F21" s="63">
        <f>Esforcos!M21</f>
        <v/>
      </c>
      <c r="G21" s="63">
        <f>Esforcos!N21</f>
        <v/>
      </c>
      <c r="H21" s="63">
        <f>0.9*D21+1.4*E21</f>
        <v/>
      </c>
      <c r="I21" s="63">
        <f>0.9*D21+1.4*E21+1.4*F21</f>
        <v/>
      </c>
      <c r="J21" s="63">
        <f>0.9*D21+1.4*E21+1.4*G21</f>
        <v/>
      </c>
      <c r="K21" s="63">
        <f>1.2*D21+E21</f>
        <v/>
      </c>
      <c r="L21" s="63">
        <f>1.2*D21+E21+1.4*F21</f>
        <v/>
      </c>
      <c r="M21" s="63">
        <f>1.2*D21+E21+1.4*G21</f>
        <v/>
      </c>
      <c r="N21" s="63">
        <f>MAX(ABS(H21),ABS(I21),ABS(J21),ABS(K21),ABS(L21),ABS(M21))</f>
        <v/>
      </c>
      <c r="O21" s="63">
        <f>1.4*Esforcos!J21</f>
        <v/>
      </c>
      <c r="P21" s="63">
        <f>1.4*Esforcos!K21</f>
        <v/>
      </c>
      <c r="Q21" s="63">
        <f>MAX(ABS(O21),ABS(P21))</f>
        <v/>
      </c>
      <c r="R21" s="63">
        <f>MAX(Q21,Q20,Q22)</f>
        <v/>
      </c>
      <c r="S21" s="63">
        <f>IF(ABS(O21)&gt;=ABS(P21),0.9*(Tensoes!D21*Dados!$C$11-Tensoes!F21),0.9*(Tensoes!D21*Dados!$C$11+Tensoes!F21))</f>
        <v/>
      </c>
      <c r="T21" s="66">
        <f>MIN(1+S21/MAX(R21,0.000001),2)</f>
        <v/>
      </c>
      <c r="U21" s="66">
        <f>T21*Dados!$C$88</f>
        <v/>
      </c>
      <c r="V21" s="66">
        <f>N21/(Dados!$C$91*Dados!$C$87)/1000</f>
        <v/>
      </c>
      <c r="W21" s="66">
        <f>(V21-U21)/0.9</f>
        <v/>
      </c>
      <c r="X21" s="67">
        <f>MAX(W21,0)/(Dados!$C$84/Dados!$C$62)*Dados!$C$91*10000/2</f>
        <v/>
      </c>
      <c r="Y21" s="67">
        <f>Dados!$C$90*Dados!$C$6*10000/2</f>
        <v/>
      </c>
      <c r="Z21" s="67">
        <f>MAX(X21,Y21)</f>
        <v/>
      </c>
      <c r="AA21" s="63">
        <f>Dados!$C$89*1000*Dados!$C$91*Dados!$C$87</f>
        <v/>
      </c>
      <c r="AB21" s="71">
        <f>IF(N21&lt;=AA21,"OK","NÃO")</f>
        <v/>
      </c>
    </row>
    <row r="22" ht="15" customHeight="1" s="47">
      <c r="A22" s="63">
        <f>Tracado_Perdas!B22</f>
        <v/>
      </c>
      <c r="B22" s="63">
        <f>-Tracado_Perdas!AB22*Tracado_Perdas!H22</f>
        <v/>
      </c>
      <c r="C22" s="67">
        <f>IF(A22&lt;=Dados!$C$5,-Hiperestatico!$H$4/2,Hiperestatico!$H$4/2)</f>
        <v/>
      </c>
      <c r="D22" s="63">
        <f>B22+C22</f>
        <v/>
      </c>
      <c r="E22" s="63">
        <f>Esforcos!L22</f>
        <v/>
      </c>
      <c r="F22" s="63">
        <f>Esforcos!M22</f>
        <v/>
      </c>
      <c r="G22" s="63">
        <f>Esforcos!N22</f>
        <v/>
      </c>
      <c r="H22" s="63">
        <f>0.9*D22+1.4*E22</f>
        <v/>
      </c>
      <c r="I22" s="63">
        <f>0.9*D22+1.4*E22+1.4*F22</f>
        <v/>
      </c>
      <c r="J22" s="63">
        <f>0.9*D22+1.4*E22+1.4*G22</f>
        <v/>
      </c>
      <c r="K22" s="63">
        <f>1.2*D22+E22</f>
        <v/>
      </c>
      <c r="L22" s="63">
        <f>1.2*D22+E22+1.4*F22</f>
        <v/>
      </c>
      <c r="M22" s="63">
        <f>1.2*D22+E22+1.4*G22</f>
        <v/>
      </c>
      <c r="N22" s="63">
        <f>MAX(ABS(H22),ABS(I22),ABS(J22),ABS(K22),ABS(L22),ABS(M22))</f>
        <v/>
      </c>
      <c r="O22" s="63">
        <f>1.4*Esforcos!J22</f>
        <v/>
      </c>
      <c r="P22" s="63">
        <f>1.4*Esforcos!K22</f>
        <v/>
      </c>
      <c r="Q22" s="63">
        <f>MAX(ABS(O22),ABS(P22))</f>
        <v/>
      </c>
      <c r="R22" s="63">
        <f>MAX(Q22,Q21,Q23)</f>
        <v/>
      </c>
      <c r="S22" s="63">
        <f>IF(ABS(O22)&gt;=ABS(P22),0.9*(Tensoes!D22*Dados!$C$11-Tensoes!F22),0.9*(Tensoes!D22*Dados!$C$11+Tensoes!F22))</f>
        <v/>
      </c>
      <c r="T22" s="66">
        <f>MIN(1+S22/MAX(R22,0.000001),2)</f>
        <v/>
      </c>
      <c r="U22" s="66">
        <f>T22*Dados!$C$88</f>
        <v/>
      </c>
      <c r="V22" s="66">
        <f>N22/(Dados!$C$91*Dados!$C$87)/1000</f>
        <v/>
      </c>
      <c r="W22" s="66">
        <f>(V22-U22)/0.9</f>
        <v/>
      </c>
      <c r="X22" s="67">
        <f>MAX(W22,0)/(Dados!$C$84/Dados!$C$62)*Dados!$C$91*10000/2</f>
        <v/>
      </c>
      <c r="Y22" s="67">
        <f>Dados!$C$90*Dados!$C$6*10000/2</f>
        <v/>
      </c>
      <c r="Z22" s="67">
        <f>MAX(X22,Y22)</f>
        <v/>
      </c>
      <c r="AA22" s="63">
        <f>Dados!$C$89*1000*Dados!$C$91*Dados!$C$87</f>
        <v/>
      </c>
      <c r="AB22" s="71">
        <f>IF(N22&lt;=AA22,"OK","NÃO")</f>
        <v/>
      </c>
    </row>
    <row r="23" ht="15" customHeight="1" s="47">
      <c r="A23" s="63">
        <f>Tracado_Perdas!B23</f>
        <v/>
      </c>
      <c r="B23" s="63">
        <f>-Tracado_Perdas!AB23*Tracado_Perdas!H23</f>
        <v/>
      </c>
      <c r="C23" s="67">
        <f>IF(A23&lt;=Dados!$C$5,-Hiperestatico!$H$4/2,Hiperestatico!$H$4/2)</f>
        <v/>
      </c>
      <c r="D23" s="63">
        <f>B23+C23</f>
        <v/>
      </c>
      <c r="E23" s="63">
        <f>Esforcos!L23</f>
        <v/>
      </c>
      <c r="F23" s="63">
        <f>Esforcos!M23</f>
        <v/>
      </c>
      <c r="G23" s="63">
        <f>Esforcos!N23</f>
        <v/>
      </c>
      <c r="H23" s="63">
        <f>0.9*D23+1.4*E23</f>
        <v/>
      </c>
      <c r="I23" s="63">
        <f>0.9*D23+1.4*E23+1.4*F23</f>
        <v/>
      </c>
      <c r="J23" s="63">
        <f>0.9*D23+1.4*E23+1.4*G23</f>
        <v/>
      </c>
      <c r="K23" s="63">
        <f>1.2*D23+E23</f>
        <v/>
      </c>
      <c r="L23" s="63">
        <f>1.2*D23+E23+1.4*F23</f>
        <v/>
      </c>
      <c r="M23" s="63">
        <f>1.2*D23+E23+1.4*G23</f>
        <v/>
      </c>
      <c r="N23" s="63">
        <f>MAX(ABS(H23),ABS(I23),ABS(J23),ABS(K23),ABS(L23),ABS(M23))</f>
        <v/>
      </c>
      <c r="O23" s="63">
        <f>1.4*Esforcos!J23</f>
        <v/>
      </c>
      <c r="P23" s="63">
        <f>1.4*Esforcos!K23</f>
        <v/>
      </c>
      <c r="Q23" s="63">
        <f>MAX(ABS(O23),ABS(P23))</f>
        <v/>
      </c>
      <c r="R23" s="63">
        <f>MAX(Q23,Q22,Q24)</f>
        <v/>
      </c>
      <c r="S23" s="63">
        <f>IF(ABS(O23)&gt;=ABS(P23),0.9*(Tensoes!D23*Dados!$C$11-Tensoes!F23),0.9*(Tensoes!D23*Dados!$C$11+Tensoes!F23))</f>
        <v/>
      </c>
      <c r="T23" s="66">
        <f>MIN(1+S23/MAX(R23,0.000001),2)</f>
        <v/>
      </c>
      <c r="U23" s="66">
        <f>T23*Dados!$C$88</f>
        <v/>
      </c>
      <c r="V23" s="66">
        <f>N23/(Dados!$C$91*Dados!$C$87)/1000</f>
        <v/>
      </c>
      <c r="W23" s="66">
        <f>(V23-U23)/0.9</f>
        <v/>
      </c>
      <c r="X23" s="67">
        <f>MAX(W23,0)/(Dados!$C$84/Dados!$C$62)*Dados!$C$91*10000/2</f>
        <v/>
      </c>
      <c r="Y23" s="67">
        <f>Dados!$C$90*Dados!$C$6*10000/2</f>
        <v/>
      </c>
      <c r="Z23" s="67">
        <f>MAX(X23,Y23)</f>
        <v/>
      </c>
      <c r="AA23" s="63">
        <f>Dados!$C$89*1000*Dados!$C$91*Dados!$C$87</f>
        <v/>
      </c>
      <c r="AB23" s="71">
        <f>IF(N23&lt;=AA23,"OK","NÃO")</f>
        <v/>
      </c>
    </row>
    <row r="24" ht="15" customHeight="1" s="47">
      <c r="A24" s="63">
        <f>Tracado_Perdas!B24</f>
        <v/>
      </c>
      <c r="B24" s="63">
        <f>-Tracado_Perdas!AB24*Tracado_Perdas!H24</f>
        <v/>
      </c>
      <c r="C24" s="67">
        <f>IF(A24&lt;=Dados!$C$5,-Hiperestatico!$H$4/2,Hiperestatico!$H$4/2)</f>
        <v/>
      </c>
      <c r="D24" s="63">
        <f>B24+C24</f>
        <v/>
      </c>
      <c r="E24" s="63">
        <f>Esforcos!L24</f>
        <v/>
      </c>
      <c r="F24" s="63">
        <f>Esforcos!M24</f>
        <v/>
      </c>
      <c r="G24" s="63">
        <f>Esforcos!N24</f>
        <v/>
      </c>
      <c r="H24" s="63">
        <f>0.9*D24+1.4*E24</f>
        <v/>
      </c>
      <c r="I24" s="63">
        <f>0.9*D24+1.4*E24+1.4*F24</f>
        <v/>
      </c>
      <c r="J24" s="63">
        <f>0.9*D24+1.4*E24+1.4*G24</f>
        <v/>
      </c>
      <c r="K24" s="63">
        <f>1.2*D24+E24</f>
        <v/>
      </c>
      <c r="L24" s="63">
        <f>1.2*D24+E24+1.4*F24</f>
        <v/>
      </c>
      <c r="M24" s="63">
        <f>1.2*D24+E24+1.4*G24</f>
        <v/>
      </c>
      <c r="N24" s="63">
        <f>MAX(ABS(H24),ABS(I24),ABS(J24),ABS(K24),ABS(L24),ABS(M24))</f>
        <v/>
      </c>
      <c r="O24" s="63">
        <f>1.4*Esforcos!J24</f>
        <v/>
      </c>
      <c r="P24" s="63">
        <f>1.4*Esforcos!K24</f>
        <v/>
      </c>
      <c r="Q24" s="63">
        <f>MAX(ABS(O24),ABS(P24))</f>
        <v/>
      </c>
      <c r="R24" s="63">
        <f>MAX(Q24,Q23,Q25)</f>
        <v/>
      </c>
      <c r="S24" s="63">
        <f>IF(ABS(O24)&gt;=ABS(P24),0.9*(Tensoes!D24*Dados!$C$11-Tensoes!F24),0.9*(Tensoes!D24*Dados!$C$11+Tensoes!F24))</f>
        <v/>
      </c>
      <c r="T24" s="66">
        <f>MIN(1+S24/MAX(R24,0.000001),2)</f>
        <v/>
      </c>
      <c r="U24" s="66">
        <f>T24*Dados!$C$88</f>
        <v/>
      </c>
      <c r="V24" s="66">
        <f>N24/(Dados!$C$91*Dados!$C$87)/1000</f>
        <v/>
      </c>
      <c r="W24" s="66">
        <f>(V24-U24)/0.9</f>
        <v/>
      </c>
      <c r="X24" s="67">
        <f>MAX(W24,0)/(Dados!$C$84/Dados!$C$62)*Dados!$C$91*10000/2</f>
        <v/>
      </c>
      <c r="Y24" s="67">
        <f>Dados!$C$90*Dados!$C$6*10000/2</f>
        <v/>
      </c>
      <c r="Z24" s="67">
        <f>MAX(X24,Y24)</f>
        <v/>
      </c>
      <c r="AA24" s="63">
        <f>Dados!$C$89*1000*Dados!$C$91*Dados!$C$87</f>
        <v/>
      </c>
      <c r="AB24" s="71">
        <f>IF(N24&lt;=AA24,"OK","NÃO")</f>
        <v/>
      </c>
    </row>
    <row r="25" ht="15" customHeight="1" s="47">
      <c r="A25" s="63">
        <f>Tracado_Perdas!B25</f>
        <v/>
      </c>
      <c r="B25" s="63">
        <f>-Tracado_Perdas!AB25*Tracado_Perdas!H25</f>
        <v/>
      </c>
      <c r="C25" s="67">
        <f>IF(A25&lt;=Dados!$C$5,-Hiperestatico!$H$4/2,Hiperestatico!$H$4/2)</f>
        <v/>
      </c>
      <c r="D25" s="63">
        <f>B25+C25</f>
        <v/>
      </c>
      <c r="E25" s="63">
        <f>Esforcos!L25</f>
        <v/>
      </c>
      <c r="F25" s="63">
        <f>Esforcos!M25</f>
        <v/>
      </c>
      <c r="G25" s="63">
        <f>Esforcos!N25</f>
        <v/>
      </c>
      <c r="H25" s="63">
        <f>0.9*D25+1.4*E25</f>
        <v/>
      </c>
      <c r="I25" s="63">
        <f>0.9*D25+1.4*E25+1.4*F25</f>
        <v/>
      </c>
      <c r="J25" s="63">
        <f>0.9*D25+1.4*E25+1.4*G25</f>
        <v/>
      </c>
      <c r="K25" s="63">
        <f>1.2*D25+E25</f>
        <v/>
      </c>
      <c r="L25" s="63">
        <f>1.2*D25+E25+1.4*F25</f>
        <v/>
      </c>
      <c r="M25" s="63">
        <f>1.2*D25+E25+1.4*G25</f>
        <v/>
      </c>
      <c r="N25" s="63">
        <f>MAX(ABS(H25),ABS(I25),ABS(J25),ABS(K25),ABS(L25),ABS(M25))</f>
        <v/>
      </c>
      <c r="O25" s="63">
        <f>1.4*Esforcos!J25</f>
        <v/>
      </c>
      <c r="P25" s="63">
        <f>1.4*Esforcos!K25</f>
        <v/>
      </c>
      <c r="Q25" s="63">
        <f>MAX(ABS(O25),ABS(P25))</f>
        <v/>
      </c>
      <c r="R25" s="63">
        <f>MAX(Q25,Q24,Q26)</f>
        <v/>
      </c>
      <c r="S25" s="63">
        <f>IF(ABS(O25)&gt;=ABS(P25),0.9*(Tensoes!D25*Dados!$C$11-Tensoes!F25),0.9*(Tensoes!D25*Dados!$C$11+Tensoes!F25))</f>
        <v/>
      </c>
      <c r="T25" s="66">
        <f>MIN(1+S25/MAX(R25,0.000001),2)</f>
        <v/>
      </c>
      <c r="U25" s="66">
        <f>T25*Dados!$C$88</f>
        <v/>
      </c>
      <c r="V25" s="66">
        <f>N25/(Dados!$C$91*Dados!$C$87)/1000</f>
        <v/>
      </c>
      <c r="W25" s="66">
        <f>(V25-U25)/0.9</f>
        <v/>
      </c>
      <c r="X25" s="67">
        <f>MAX(W25,0)/(Dados!$C$84/Dados!$C$62)*Dados!$C$91*10000/2</f>
        <v/>
      </c>
      <c r="Y25" s="67">
        <f>Dados!$C$90*Dados!$C$6*10000/2</f>
        <v/>
      </c>
      <c r="Z25" s="67">
        <f>MAX(X25,Y25)</f>
        <v/>
      </c>
      <c r="AA25" s="63">
        <f>Dados!$C$89*1000*Dados!$C$91*Dados!$C$87</f>
        <v/>
      </c>
      <c r="AB25" s="71">
        <f>IF(N25&lt;=AA25,"OK","NÃO")</f>
        <v/>
      </c>
    </row>
    <row r="26" ht="15" customHeight="1" s="47">
      <c r="A26" s="63">
        <f>Tracado_Perdas!B26</f>
        <v/>
      </c>
      <c r="B26" s="63">
        <f>-Tracado_Perdas!AB26*Tracado_Perdas!H26</f>
        <v/>
      </c>
      <c r="C26" s="67">
        <f>IF(A26&lt;=Dados!$C$5,-Hiperestatico!$H$4/2,Hiperestatico!$H$4/2)</f>
        <v/>
      </c>
      <c r="D26" s="63">
        <f>B26+C26</f>
        <v/>
      </c>
      <c r="E26" s="63">
        <f>Esforcos!L26</f>
        <v/>
      </c>
      <c r="F26" s="63">
        <f>Esforcos!M26</f>
        <v/>
      </c>
      <c r="G26" s="63">
        <f>Esforcos!N26</f>
        <v/>
      </c>
      <c r="H26" s="63">
        <f>0.9*D26+1.4*E26</f>
        <v/>
      </c>
      <c r="I26" s="63">
        <f>0.9*D26+1.4*E26+1.4*F26</f>
        <v/>
      </c>
      <c r="J26" s="63">
        <f>0.9*D26+1.4*E26+1.4*G26</f>
        <v/>
      </c>
      <c r="K26" s="63">
        <f>1.2*D26+E26</f>
        <v/>
      </c>
      <c r="L26" s="63">
        <f>1.2*D26+E26+1.4*F26</f>
        <v/>
      </c>
      <c r="M26" s="63">
        <f>1.2*D26+E26+1.4*G26</f>
        <v/>
      </c>
      <c r="N26" s="63">
        <f>MAX(ABS(H26),ABS(I26),ABS(J26),ABS(K26),ABS(L26),ABS(M26))</f>
        <v/>
      </c>
      <c r="O26" s="63">
        <f>1.4*Esforcos!J26</f>
        <v/>
      </c>
      <c r="P26" s="63">
        <f>1.4*Esforcos!K26</f>
        <v/>
      </c>
      <c r="Q26" s="63">
        <f>MAX(ABS(O26),ABS(P26))</f>
        <v/>
      </c>
      <c r="R26" s="63">
        <f>MAX(Q26,Q25,Q27)</f>
        <v/>
      </c>
      <c r="S26" s="63">
        <f>IF(ABS(O26)&gt;=ABS(P26),0.9*(Tensoes!D26*Dados!$C$11-Tensoes!F26),0.9*(Tensoes!D26*Dados!$C$11+Tensoes!F26))</f>
        <v/>
      </c>
      <c r="T26" s="66">
        <f>MIN(1+S26/MAX(R26,0.000001),2)</f>
        <v/>
      </c>
      <c r="U26" s="66">
        <f>T26*Dados!$C$88</f>
        <v/>
      </c>
      <c r="V26" s="66">
        <f>N26/(Dados!$C$91*Dados!$C$87)/1000</f>
        <v/>
      </c>
      <c r="W26" s="66">
        <f>(V26-U26)/0.9</f>
        <v/>
      </c>
      <c r="X26" s="67">
        <f>MAX(W26,0)/(Dados!$C$84/Dados!$C$62)*Dados!$C$91*10000/2</f>
        <v/>
      </c>
      <c r="Y26" s="67">
        <f>Dados!$C$90*Dados!$C$6*10000/2</f>
        <v/>
      </c>
      <c r="Z26" s="67">
        <f>MAX(X26,Y26)</f>
        <v/>
      </c>
      <c r="AA26" s="63">
        <f>Dados!$C$89*1000*Dados!$C$91*Dados!$C$87</f>
        <v/>
      </c>
      <c r="AB26" s="71">
        <f>IF(N26&lt;=AA26,"OK","NÃO")</f>
        <v/>
      </c>
    </row>
    <row r="27" ht="15" customHeight="1" s="47">
      <c r="A27" s="63">
        <f>Tracado_Perdas!B27</f>
        <v/>
      </c>
      <c r="B27" s="63">
        <f>-Tracado_Perdas!AB27*Tracado_Perdas!H27</f>
        <v/>
      </c>
      <c r="C27" s="67">
        <f>IF(A27&lt;=Dados!$C$5,-Hiperestatico!$H$4/2,Hiperestatico!$H$4/2)</f>
        <v/>
      </c>
      <c r="D27" s="63">
        <f>B27+C27</f>
        <v/>
      </c>
      <c r="E27" s="63">
        <f>Esforcos!L27</f>
        <v/>
      </c>
      <c r="F27" s="63">
        <f>Esforcos!M27</f>
        <v/>
      </c>
      <c r="G27" s="63">
        <f>Esforcos!N27</f>
        <v/>
      </c>
      <c r="H27" s="63">
        <f>0.9*D27+1.4*E27</f>
        <v/>
      </c>
      <c r="I27" s="63">
        <f>0.9*D27+1.4*E27+1.4*F27</f>
        <v/>
      </c>
      <c r="J27" s="63">
        <f>0.9*D27+1.4*E27+1.4*G27</f>
        <v/>
      </c>
      <c r="K27" s="63">
        <f>1.2*D27+E27</f>
        <v/>
      </c>
      <c r="L27" s="63">
        <f>1.2*D27+E27+1.4*F27</f>
        <v/>
      </c>
      <c r="M27" s="63">
        <f>1.2*D27+E27+1.4*G27</f>
        <v/>
      </c>
      <c r="N27" s="63">
        <f>MAX(ABS(H27),ABS(I27),ABS(J27),ABS(K27),ABS(L27),ABS(M27))</f>
        <v/>
      </c>
      <c r="O27" s="63">
        <f>1.4*Esforcos!J27</f>
        <v/>
      </c>
      <c r="P27" s="63">
        <f>1.4*Esforcos!K27</f>
        <v/>
      </c>
      <c r="Q27" s="63">
        <f>MAX(ABS(O27),ABS(P27))</f>
        <v/>
      </c>
      <c r="R27" s="63">
        <f>MAX(Q27,Q26,Q28)</f>
        <v/>
      </c>
      <c r="S27" s="63">
        <f>IF(ABS(O27)&gt;=ABS(P27),0.9*(Tensoes!D27*Dados!$C$11-Tensoes!F27),0.9*(Tensoes!D27*Dados!$C$11+Tensoes!F27))</f>
        <v/>
      </c>
      <c r="T27" s="66">
        <f>MIN(1+S27/MAX(R27,0.000001),2)</f>
        <v/>
      </c>
      <c r="U27" s="66">
        <f>T27*Dados!$C$88</f>
        <v/>
      </c>
      <c r="V27" s="66">
        <f>N27/(Dados!$C$91*Dados!$C$87)/1000</f>
        <v/>
      </c>
      <c r="W27" s="66">
        <f>(V27-U27)/0.9</f>
        <v/>
      </c>
      <c r="X27" s="67">
        <f>MAX(W27,0)/(Dados!$C$84/Dados!$C$62)*Dados!$C$91*10000/2</f>
        <v/>
      </c>
      <c r="Y27" s="67">
        <f>Dados!$C$90*Dados!$C$6*10000/2</f>
        <v/>
      </c>
      <c r="Z27" s="67">
        <f>MAX(X27,Y27)</f>
        <v/>
      </c>
      <c r="AA27" s="63">
        <f>Dados!$C$89*1000*Dados!$C$91*Dados!$C$87</f>
        <v/>
      </c>
      <c r="AB27" s="71">
        <f>IF(N27&lt;=AA27,"OK","NÃO")</f>
        <v/>
      </c>
    </row>
    <row r="28" ht="15" customHeight="1" s="47">
      <c r="A28" s="63">
        <f>Tracado_Perdas!B28</f>
        <v/>
      </c>
      <c r="B28" s="63">
        <f>-Tracado_Perdas!AB28*Tracado_Perdas!H28</f>
        <v/>
      </c>
      <c r="C28" s="67">
        <f>IF(A28&lt;=Dados!$C$5,-Hiperestatico!$H$4/2,Hiperestatico!$H$4/2)</f>
        <v/>
      </c>
      <c r="D28" s="63">
        <f>B28+C28</f>
        <v/>
      </c>
      <c r="E28" s="63">
        <f>Esforcos!L28</f>
        <v/>
      </c>
      <c r="F28" s="63">
        <f>Esforcos!M28</f>
        <v/>
      </c>
      <c r="G28" s="63">
        <f>Esforcos!N28</f>
        <v/>
      </c>
      <c r="H28" s="63">
        <f>0.9*D28+1.4*E28</f>
        <v/>
      </c>
      <c r="I28" s="63">
        <f>0.9*D28+1.4*E28+1.4*F28</f>
        <v/>
      </c>
      <c r="J28" s="63">
        <f>0.9*D28+1.4*E28+1.4*G28</f>
        <v/>
      </c>
      <c r="K28" s="63">
        <f>1.2*D28+E28</f>
        <v/>
      </c>
      <c r="L28" s="63">
        <f>1.2*D28+E28+1.4*F28</f>
        <v/>
      </c>
      <c r="M28" s="63">
        <f>1.2*D28+E28+1.4*G28</f>
        <v/>
      </c>
      <c r="N28" s="63">
        <f>MAX(ABS(H28),ABS(I28),ABS(J28),ABS(K28),ABS(L28),ABS(M28))</f>
        <v/>
      </c>
      <c r="O28" s="63">
        <f>1.4*Esforcos!J28</f>
        <v/>
      </c>
      <c r="P28" s="63">
        <f>1.4*Esforcos!K28</f>
        <v/>
      </c>
      <c r="Q28" s="63">
        <f>MAX(ABS(O28),ABS(P28))</f>
        <v/>
      </c>
      <c r="R28" s="63">
        <f>MAX(Q28,Q27,Q29)</f>
        <v/>
      </c>
      <c r="S28" s="63">
        <f>IF(ABS(O28)&gt;=ABS(P28),0.9*(Tensoes!D28*Dados!$C$11-Tensoes!F28),0.9*(Tensoes!D28*Dados!$C$11+Tensoes!F28))</f>
        <v/>
      </c>
      <c r="T28" s="66">
        <f>MIN(1+S28/MAX(R28,0.000001),2)</f>
        <v/>
      </c>
      <c r="U28" s="66">
        <f>T28*Dados!$C$88</f>
        <v/>
      </c>
      <c r="V28" s="66">
        <f>N28/(Dados!$C$91*Dados!$C$87)/1000</f>
        <v/>
      </c>
      <c r="W28" s="66">
        <f>(V28-U28)/0.9</f>
        <v/>
      </c>
      <c r="X28" s="67">
        <f>MAX(W28,0)/(Dados!$C$84/Dados!$C$62)*Dados!$C$91*10000/2</f>
        <v/>
      </c>
      <c r="Y28" s="67">
        <f>Dados!$C$90*Dados!$C$6*10000/2</f>
        <v/>
      </c>
      <c r="Z28" s="67">
        <f>MAX(X28,Y28)</f>
        <v/>
      </c>
      <c r="AA28" s="63">
        <f>Dados!$C$89*1000*Dados!$C$91*Dados!$C$87</f>
        <v/>
      </c>
      <c r="AB28" s="71">
        <f>IF(N28&lt;=AA28,"OK","NÃO")</f>
        <v/>
      </c>
    </row>
    <row r="29" ht="15" customHeight="1" s="47">
      <c r="A29" s="63">
        <f>Tracado_Perdas!B29</f>
        <v/>
      </c>
      <c r="B29" s="63">
        <f>-Tracado_Perdas!AB29*Tracado_Perdas!H29</f>
        <v/>
      </c>
      <c r="C29" s="67">
        <f>IF(A29&lt;=Dados!$C$5,-Hiperestatico!$H$4/2,Hiperestatico!$H$4/2)</f>
        <v/>
      </c>
      <c r="D29" s="63">
        <f>B29+C29</f>
        <v/>
      </c>
      <c r="E29" s="63">
        <f>Esforcos!L29</f>
        <v/>
      </c>
      <c r="F29" s="63">
        <f>Esforcos!M29</f>
        <v/>
      </c>
      <c r="G29" s="63">
        <f>Esforcos!N29</f>
        <v/>
      </c>
      <c r="H29" s="63">
        <f>0.9*D29+1.4*E29</f>
        <v/>
      </c>
      <c r="I29" s="63">
        <f>0.9*D29+1.4*E29+1.4*F29</f>
        <v/>
      </c>
      <c r="J29" s="63">
        <f>0.9*D29+1.4*E29+1.4*G29</f>
        <v/>
      </c>
      <c r="K29" s="63">
        <f>1.2*D29+E29</f>
        <v/>
      </c>
      <c r="L29" s="63">
        <f>1.2*D29+E29+1.4*F29</f>
        <v/>
      </c>
      <c r="M29" s="63">
        <f>1.2*D29+E29+1.4*G29</f>
        <v/>
      </c>
      <c r="N29" s="63">
        <f>MAX(ABS(H29),ABS(I29),ABS(J29),ABS(K29),ABS(L29),ABS(M29))</f>
        <v/>
      </c>
      <c r="O29" s="63">
        <f>1.4*Esforcos!J29</f>
        <v/>
      </c>
      <c r="P29" s="63">
        <f>1.4*Esforcos!K29</f>
        <v/>
      </c>
      <c r="Q29" s="63">
        <f>MAX(ABS(O29),ABS(P29))</f>
        <v/>
      </c>
      <c r="R29" s="63">
        <f>MAX(Q29,Q28,Q30)</f>
        <v/>
      </c>
      <c r="S29" s="63">
        <f>IF(ABS(O29)&gt;=ABS(P29),0.9*(Tensoes!D29*Dados!$C$11-Tensoes!F29),0.9*(Tensoes!D29*Dados!$C$11+Tensoes!F29))</f>
        <v/>
      </c>
      <c r="T29" s="66">
        <f>MIN(1+S29/MAX(R29,0.000001),2)</f>
        <v/>
      </c>
      <c r="U29" s="66">
        <f>T29*Dados!$C$88</f>
        <v/>
      </c>
      <c r="V29" s="66">
        <f>N29/(Dados!$C$91*Dados!$C$87)/1000</f>
        <v/>
      </c>
      <c r="W29" s="66">
        <f>(V29-U29)/0.9</f>
        <v/>
      </c>
      <c r="X29" s="67">
        <f>MAX(W29,0)/(Dados!$C$84/Dados!$C$62)*Dados!$C$91*10000/2</f>
        <v/>
      </c>
      <c r="Y29" s="67">
        <f>Dados!$C$90*Dados!$C$6*10000/2</f>
        <v/>
      </c>
      <c r="Z29" s="67">
        <f>MAX(X29,Y29)</f>
        <v/>
      </c>
      <c r="AA29" s="63">
        <f>Dados!$C$89*1000*Dados!$C$91*Dados!$C$87</f>
        <v/>
      </c>
      <c r="AB29" s="71">
        <f>IF(N29&lt;=AA29,"OK","NÃO")</f>
        <v/>
      </c>
    </row>
    <row r="30" ht="15" customHeight="1" s="47">
      <c r="A30" s="63">
        <f>Tracado_Perdas!B30</f>
        <v/>
      </c>
      <c r="B30" s="63">
        <f>-Tracado_Perdas!AB30*Tracado_Perdas!H30</f>
        <v/>
      </c>
      <c r="C30" s="67">
        <f>IF(A30&lt;=Dados!$C$5,-Hiperestatico!$H$4/2,Hiperestatico!$H$4/2)</f>
        <v/>
      </c>
      <c r="D30" s="63">
        <f>B30+C30</f>
        <v/>
      </c>
      <c r="E30" s="63">
        <f>Esforcos!L30</f>
        <v/>
      </c>
      <c r="F30" s="63">
        <f>Esforcos!M30</f>
        <v/>
      </c>
      <c r="G30" s="63">
        <f>Esforcos!N30</f>
        <v/>
      </c>
      <c r="H30" s="63">
        <f>0.9*D30+1.4*E30</f>
        <v/>
      </c>
      <c r="I30" s="63">
        <f>0.9*D30+1.4*E30+1.4*F30</f>
        <v/>
      </c>
      <c r="J30" s="63">
        <f>0.9*D30+1.4*E30+1.4*G30</f>
        <v/>
      </c>
      <c r="K30" s="63">
        <f>1.2*D30+E30</f>
        <v/>
      </c>
      <c r="L30" s="63">
        <f>1.2*D30+E30+1.4*F30</f>
        <v/>
      </c>
      <c r="M30" s="63">
        <f>1.2*D30+E30+1.4*G30</f>
        <v/>
      </c>
      <c r="N30" s="63">
        <f>MAX(ABS(H30),ABS(I30),ABS(J30),ABS(K30),ABS(L30),ABS(M30))</f>
        <v/>
      </c>
      <c r="O30" s="63">
        <f>1.4*Esforcos!J30</f>
        <v/>
      </c>
      <c r="P30" s="63">
        <f>1.4*Esforcos!K30</f>
        <v/>
      </c>
      <c r="Q30" s="63">
        <f>MAX(ABS(O30),ABS(P30))</f>
        <v/>
      </c>
      <c r="R30" s="63">
        <f>MAX(Q30,Q29,Q31)</f>
        <v/>
      </c>
      <c r="S30" s="63">
        <f>IF(ABS(O30)&gt;=ABS(P30),0.9*(Tensoes!D30*Dados!$C$11-Tensoes!F30),0.9*(Tensoes!D30*Dados!$C$11+Tensoes!F30))</f>
        <v/>
      </c>
      <c r="T30" s="66">
        <f>MIN(1+S30/MAX(R30,0.000001),2)</f>
        <v/>
      </c>
      <c r="U30" s="66">
        <f>T30*Dados!$C$88</f>
        <v/>
      </c>
      <c r="V30" s="66">
        <f>N30/(Dados!$C$91*Dados!$C$87)/1000</f>
        <v/>
      </c>
      <c r="W30" s="66">
        <f>(V30-U30)/0.9</f>
        <v/>
      </c>
      <c r="X30" s="67">
        <f>MAX(W30,0)/(Dados!$C$84/Dados!$C$62)*Dados!$C$91*10000/2</f>
        <v/>
      </c>
      <c r="Y30" s="67">
        <f>Dados!$C$90*Dados!$C$6*10000/2</f>
        <v/>
      </c>
      <c r="Z30" s="67">
        <f>MAX(X30,Y30)</f>
        <v/>
      </c>
      <c r="AA30" s="63">
        <f>Dados!$C$89*1000*Dados!$C$91*Dados!$C$87</f>
        <v/>
      </c>
      <c r="AB30" s="71">
        <f>IF(N30&lt;=AA30,"OK","NÃO")</f>
        <v/>
      </c>
    </row>
    <row r="31" ht="15" customHeight="1" s="47">
      <c r="A31" s="63">
        <f>Tracado_Perdas!B31</f>
        <v/>
      </c>
      <c r="B31" s="63">
        <f>-Tracado_Perdas!AB31*Tracado_Perdas!H31</f>
        <v/>
      </c>
      <c r="C31" s="67">
        <f>IF(A31&lt;=Dados!$C$5,-Hiperestatico!$H$4/2,Hiperestatico!$H$4/2)</f>
        <v/>
      </c>
      <c r="D31" s="63">
        <f>B31+C31</f>
        <v/>
      </c>
      <c r="E31" s="63">
        <f>Esforcos!L31</f>
        <v/>
      </c>
      <c r="F31" s="63">
        <f>Esforcos!M31</f>
        <v/>
      </c>
      <c r="G31" s="63">
        <f>Esforcos!N31</f>
        <v/>
      </c>
      <c r="H31" s="63">
        <f>0.9*D31+1.4*E31</f>
        <v/>
      </c>
      <c r="I31" s="63">
        <f>0.9*D31+1.4*E31+1.4*F31</f>
        <v/>
      </c>
      <c r="J31" s="63">
        <f>0.9*D31+1.4*E31+1.4*G31</f>
        <v/>
      </c>
      <c r="K31" s="63">
        <f>1.2*D31+E31</f>
        <v/>
      </c>
      <c r="L31" s="63">
        <f>1.2*D31+E31+1.4*F31</f>
        <v/>
      </c>
      <c r="M31" s="63">
        <f>1.2*D31+E31+1.4*G31</f>
        <v/>
      </c>
      <c r="N31" s="63">
        <f>MAX(ABS(H31),ABS(I31),ABS(J31),ABS(K31),ABS(L31),ABS(M31))</f>
        <v/>
      </c>
      <c r="O31" s="63">
        <f>1.4*Esforcos!J31</f>
        <v/>
      </c>
      <c r="P31" s="63">
        <f>1.4*Esforcos!K31</f>
        <v/>
      </c>
      <c r="Q31" s="63">
        <f>MAX(ABS(O31),ABS(P31))</f>
        <v/>
      </c>
      <c r="R31" s="63">
        <f>MAX(Q31,Q30,Q32)</f>
        <v/>
      </c>
      <c r="S31" s="63">
        <f>IF(ABS(O31)&gt;=ABS(P31),0.9*(Tensoes!D31*Dados!$C$11-Tensoes!F31),0.9*(Tensoes!D31*Dados!$C$11+Tensoes!F31))</f>
        <v/>
      </c>
      <c r="T31" s="66">
        <f>MIN(1+S31/MAX(R31,0.000001),2)</f>
        <v/>
      </c>
      <c r="U31" s="66">
        <f>T31*Dados!$C$88</f>
        <v/>
      </c>
      <c r="V31" s="66">
        <f>N31/(Dados!$C$91*Dados!$C$87)/1000</f>
        <v/>
      </c>
      <c r="W31" s="66">
        <f>(V31-U31)/0.9</f>
        <v/>
      </c>
      <c r="X31" s="67">
        <f>MAX(W31,0)/(Dados!$C$84/Dados!$C$62)*Dados!$C$91*10000/2</f>
        <v/>
      </c>
      <c r="Y31" s="67">
        <f>Dados!$C$90*Dados!$C$6*10000/2</f>
        <v/>
      </c>
      <c r="Z31" s="67">
        <f>MAX(X31,Y31)</f>
        <v/>
      </c>
      <c r="AA31" s="63">
        <f>Dados!$C$89*1000*Dados!$C$91*Dados!$C$87</f>
        <v/>
      </c>
      <c r="AB31" s="71">
        <f>IF(N31&lt;=AA31,"OK","NÃO")</f>
        <v/>
      </c>
    </row>
    <row r="32" ht="15" customHeight="1" s="47">
      <c r="A32" s="63">
        <f>Tracado_Perdas!B32</f>
        <v/>
      </c>
      <c r="B32" s="63">
        <f>-Tracado_Perdas!AB32*Tracado_Perdas!H32</f>
        <v/>
      </c>
      <c r="C32" s="67">
        <f>IF(A32&lt;=Dados!$C$5,-Hiperestatico!$H$4/2,Hiperestatico!$H$4/2)</f>
        <v/>
      </c>
      <c r="D32" s="63">
        <f>B32+C32</f>
        <v/>
      </c>
      <c r="E32" s="63">
        <f>Esforcos!L32</f>
        <v/>
      </c>
      <c r="F32" s="63">
        <f>Esforcos!M32</f>
        <v/>
      </c>
      <c r="G32" s="63">
        <f>Esforcos!N32</f>
        <v/>
      </c>
      <c r="H32" s="63">
        <f>0.9*D32+1.4*E32</f>
        <v/>
      </c>
      <c r="I32" s="63">
        <f>0.9*D32+1.4*E32+1.4*F32</f>
        <v/>
      </c>
      <c r="J32" s="63">
        <f>0.9*D32+1.4*E32+1.4*G32</f>
        <v/>
      </c>
      <c r="K32" s="63">
        <f>1.2*D32+E32</f>
        <v/>
      </c>
      <c r="L32" s="63">
        <f>1.2*D32+E32+1.4*F32</f>
        <v/>
      </c>
      <c r="M32" s="63">
        <f>1.2*D32+E32+1.4*G32</f>
        <v/>
      </c>
      <c r="N32" s="63">
        <f>MAX(ABS(H32),ABS(I32),ABS(J32),ABS(K32),ABS(L32),ABS(M32))</f>
        <v/>
      </c>
      <c r="O32" s="63">
        <f>1.4*Esforcos!J32</f>
        <v/>
      </c>
      <c r="P32" s="63">
        <f>1.4*Esforcos!K32</f>
        <v/>
      </c>
      <c r="Q32" s="63">
        <f>MAX(ABS(O32),ABS(P32))</f>
        <v/>
      </c>
      <c r="R32" s="63">
        <f>MAX(Q32,Q31,Q33)</f>
        <v/>
      </c>
      <c r="S32" s="63">
        <f>IF(ABS(O32)&gt;=ABS(P32),0.9*(Tensoes!D32*Dados!$C$11-Tensoes!F32),0.9*(Tensoes!D32*Dados!$C$11+Tensoes!F32))</f>
        <v/>
      </c>
      <c r="T32" s="66">
        <f>MIN(1+S32/MAX(R32,0.000001),2)</f>
        <v/>
      </c>
      <c r="U32" s="66">
        <f>T32*Dados!$C$88</f>
        <v/>
      </c>
      <c r="V32" s="66">
        <f>N32/(Dados!$C$91*Dados!$C$87)/1000</f>
        <v/>
      </c>
      <c r="W32" s="66">
        <f>(V32-U32)/0.9</f>
        <v/>
      </c>
      <c r="X32" s="67">
        <f>MAX(W32,0)/(Dados!$C$84/Dados!$C$62)*Dados!$C$91*10000/2</f>
        <v/>
      </c>
      <c r="Y32" s="67">
        <f>Dados!$C$90*Dados!$C$6*10000/2</f>
        <v/>
      </c>
      <c r="Z32" s="67">
        <f>MAX(X32,Y32)</f>
        <v/>
      </c>
      <c r="AA32" s="63">
        <f>Dados!$C$89*1000*Dados!$C$91*Dados!$C$87</f>
        <v/>
      </c>
      <c r="AB32" s="71">
        <f>IF(N32&lt;=AA32,"OK","NÃO")</f>
        <v/>
      </c>
    </row>
    <row r="33" ht="15" customHeight="1" s="47">
      <c r="A33" s="63">
        <f>Tracado_Perdas!B33</f>
        <v/>
      </c>
      <c r="B33" s="63">
        <f>-Tracado_Perdas!AB33*Tracado_Perdas!H33</f>
        <v/>
      </c>
      <c r="C33" s="67">
        <f>IF(A33&lt;=Dados!$C$5,-Hiperestatico!$H$4/2,Hiperestatico!$H$4/2)</f>
        <v/>
      </c>
      <c r="D33" s="63">
        <f>B33+C33</f>
        <v/>
      </c>
      <c r="E33" s="63">
        <f>Esforcos!L33</f>
        <v/>
      </c>
      <c r="F33" s="63">
        <f>Esforcos!M33</f>
        <v/>
      </c>
      <c r="G33" s="63">
        <f>Esforcos!N33</f>
        <v/>
      </c>
      <c r="H33" s="63">
        <f>0.9*D33+1.4*E33</f>
        <v/>
      </c>
      <c r="I33" s="63">
        <f>0.9*D33+1.4*E33+1.4*F33</f>
        <v/>
      </c>
      <c r="J33" s="63">
        <f>0.9*D33+1.4*E33+1.4*G33</f>
        <v/>
      </c>
      <c r="K33" s="63">
        <f>1.2*D33+E33</f>
        <v/>
      </c>
      <c r="L33" s="63">
        <f>1.2*D33+E33+1.4*F33</f>
        <v/>
      </c>
      <c r="M33" s="63">
        <f>1.2*D33+E33+1.4*G33</f>
        <v/>
      </c>
      <c r="N33" s="63">
        <f>MAX(ABS(H33),ABS(I33),ABS(J33),ABS(K33),ABS(L33),ABS(M33))</f>
        <v/>
      </c>
      <c r="O33" s="63">
        <f>1.4*Esforcos!J33</f>
        <v/>
      </c>
      <c r="P33" s="63">
        <f>1.4*Esforcos!K33</f>
        <v/>
      </c>
      <c r="Q33" s="63">
        <f>MAX(ABS(O33),ABS(P33))</f>
        <v/>
      </c>
      <c r="R33" s="63">
        <f>MAX(Q33,Q32,Q34)</f>
        <v/>
      </c>
      <c r="S33" s="63">
        <f>IF(ABS(O33)&gt;=ABS(P33),0.9*(Tensoes!D33*Dados!$C$11-Tensoes!F33),0.9*(Tensoes!D33*Dados!$C$11+Tensoes!F33))</f>
        <v/>
      </c>
      <c r="T33" s="66">
        <f>MIN(1+S33/MAX(R33,0.000001),2)</f>
        <v/>
      </c>
      <c r="U33" s="66">
        <f>T33*Dados!$C$88</f>
        <v/>
      </c>
      <c r="V33" s="66">
        <f>N33/(Dados!$C$91*Dados!$C$87)/1000</f>
        <v/>
      </c>
      <c r="W33" s="66">
        <f>(V33-U33)/0.9</f>
        <v/>
      </c>
      <c r="X33" s="67">
        <f>MAX(W33,0)/(Dados!$C$84/Dados!$C$62)*Dados!$C$91*10000/2</f>
        <v/>
      </c>
      <c r="Y33" s="67">
        <f>Dados!$C$90*Dados!$C$6*10000/2</f>
        <v/>
      </c>
      <c r="Z33" s="67">
        <f>MAX(X33,Y33)</f>
        <v/>
      </c>
      <c r="AA33" s="63">
        <f>Dados!$C$89*1000*Dados!$C$91*Dados!$C$87</f>
        <v/>
      </c>
      <c r="AB33" s="71">
        <f>IF(N33&lt;=AA33,"OK","NÃO")</f>
        <v/>
      </c>
    </row>
    <row r="34" ht="15" customHeight="1" s="47">
      <c r="A34" s="63">
        <f>Tracado_Perdas!B34</f>
        <v/>
      </c>
      <c r="B34" s="63">
        <f>-Tracado_Perdas!AB34*Tracado_Perdas!H34</f>
        <v/>
      </c>
      <c r="C34" s="67">
        <f>IF(A34&lt;=Dados!$C$5,-Hiperestatico!$H$4/2,Hiperestatico!$H$4/2)</f>
        <v/>
      </c>
      <c r="D34" s="63">
        <f>B34+C34</f>
        <v/>
      </c>
      <c r="E34" s="63">
        <f>Esforcos!L34</f>
        <v/>
      </c>
      <c r="F34" s="63">
        <f>Esforcos!M34</f>
        <v/>
      </c>
      <c r="G34" s="63">
        <f>Esforcos!N34</f>
        <v/>
      </c>
      <c r="H34" s="63">
        <f>0.9*D34+1.4*E34</f>
        <v/>
      </c>
      <c r="I34" s="63">
        <f>0.9*D34+1.4*E34+1.4*F34</f>
        <v/>
      </c>
      <c r="J34" s="63">
        <f>0.9*D34+1.4*E34+1.4*G34</f>
        <v/>
      </c>
      <c r="K34" s="63">
        <f>1.2*D34+E34</f>
        <v/>
      </c>
      <c r="L34" s="63">
        <f>1.2*D34+E34+1.4*F34</f>
        <v/>
      </c>
      <c r="M34" s="63">
        <f>1.2*D34+E34+1.4*G34</f>
        <v/>
      </c>
      <c r="N34" s="63">
        <f>MAX(ABS(H34),ABS(I34),ABS(J34),ABS(K34),ABS(L34),ABS(M34))</f>
        <v/>
      </c>
      <c r="O34" s="63">
        <f>1.4*Esforcos!J34</f>
        <v/>
      </c>
      <c r="P34" s="63">
        <f>1.4*Esforcos!K34</f>
        <v/>
      </c>
      <c r="Q34" s="63">
        <f>MAX(ABS(O34),ABS(P34))</f>
        <v/>
      </c>
      <c r="R34" s="63">
        <f>MAX(Q34,Q33,Q35)</f>
        <v/>
      </c>
      <c r="S34" s="63">
        <f>IF(ABS(O34)&gt;=ABS(P34),0.9*(Tensoes!D34*Dados!$C$11-Tensoes!F34),0.9*(Tensoes!D34*Dados!$C$11+Tensoes!F34))</f>
        <v/>
      </c>
      <c r="T34" s="66">
        <f>MIN(1+S34/MAX(R34,0.000001),2)</f>
        <v/>
      </c>
      <c r="U34" s="66">
        <f>T34*Dados!$C$88</f>
        <v/>
      </c>
      <c r="V34" s="66">
        <f>N34/(Dados!$C$91*Dados!$C$87)/1000</f>
        <v/>
      </c>
      <c r="W34" s="66">
        <f>(V34-U34)/0.9</f>
        <v/>
      </c>
      <c r="X34" s="67">
        <f>MAX(W34,0)/(Dados!$C$84/Dados!$C$62)*Dados!$C$91*10000/2</f>
        <v/>
      </c>
      <c r="Y34" s="67">
        <f>Dados!$C$90*Dados!$C$6*10000/2</f>
        <v/>
      </c>
      <c r="Z34" s="67">
        <f>MAX(X34,Y34)</f>
        <v/>
      </c>
      <c r="AA34" s="63">
        <f>Dados!$C$89*1000*Dados!$C$91*Dados!$C$87</f>
        <v/>
      </c>
      <c r="AB34" s="71">
        <f>IF(N34&lt;=AA34,"OK","NÃO")</f>
        <v/>
      </c>
    </row>
    <row r="35" ht="15" customHeight="1" s="47">
      <c r="A35" s="63">
        <f>Tracado_Perdas!B35</f>
        <v/>
      </c>
      <c r="B35" s="63">
        <f>-Tracado_Perdas!AB35*Tracado_Perdas!H35</f>
        <v/>
      </c>
      <c r="C35" s="67">
        <f>IF(A35&lt;=Dados!$C$5,-Hiperestatico!$H$4/2,Hiperestatico!$H$4/2)</f>
        <v/>
      </c>
      <c r="D35" s="63">
        <f>B35+C35</f>
        <v/>
      </c>
      <c r="E35" s="63">
        <f>Esforcos!L35</f>
        <v/>
      </c>
      <c r="F35" s="63">
        <f>Esforcos!M35</f>
        <v/>
      </c>
      <c r="G35" s="63">
        <f>Esforcos!N35</f>
        <v/>
      </c>
      <c r="H35" s="63">
        <f>0.9*D35+1.4*E35</f>
        <v/>
      </c>
      <c r="I35" s="63">
        <f>0.9*D35+1.4*E35+1.4*F35</f>
        <v/>
      </c>
      <c r="J35" s="63">
        <f>0.9*D35+1.4*E35+1.4*G35</f>
        <v/>
      </c>
      <c r="K35" s="63">
        <f>1.2*D35+E35</f>
        <v/>
      </c>
      <c r="L35" s="63">
        <f>1.2*D35+E35+1.4*F35</f>
        <v/>
      </c>
      <c r="M35" s="63">
        <f>1.2*D35+E35+1.4*G35</f>
        <v/>
      </c>
      <c r="N35" s="63">
        <f>MAX(ABS(H35),ABS(I35),ABS(J35),ABS(K35),ABS(L35),ABS(M35))</f>
        <v/>
      </c>
      <c r="O35" s="63">
        <f>1.4*Esforcos!J35</f>
        <v/>
      </c>
      <c r="P35" s="63">
        <f>1.4*Esforcos!K35</f>
        <v/>
      </c>
      <c r="Q35" s="63">
        <f>MAX(ABS(O35),ABS(P35))</f>
        <v/>
      </c>
      <c r="R35" s="63">
        <f>MAX(Q35,Q34,Q36)</f>
        <v/>
      </c>
      <c r="S35" s="63">
        <f>IF(ABS(O35)&gt;=ABS(P35),0.9*(Tensoes!D35*Dados!$C$11-Tensoes!F35),0.9*(Tensoes!D35*Dados!$C$11+Tensoes!F35))</f>
        <v/>
      </c>
      <c r="T35" s="66">
        <f>MIN(1+S35/MAX(R35,0.000001),2)</f>
        <v/>
      </c>
      <c r="U35" s="66">
        <f>T35*Dados!$C$88</f>
        <v/>
      </c>
      <c r="V35" s="66">
        <f>N35/(Dados!$C$91*Dados!$C$87)/1000</f>
        <v/>
      </c>
      <c r="W35" s="66">
        <f>(V35-U35)/0.9</f>
        <v/>
      </c>
      <c r="X35" s="67">
        <f>MAX(W35,0)/(Dados!$C$84/Dados!$C$62)*Dados!$C$91*10000/2</f>
        <v/>
      </c>
      <c r="Y35" s="67">
        <f>Dados!$C$90*Dados!$C$6*10000/2</f>
        <v/>
      </c>
      <c r="Z35" s="67">
        <f>MAX(X35,Y35)</f>
        <v/>
      </c>
      <c r="AA35" s="63">
        <f>Dados!$C$89*1000*Dados!$C$91*Dados!$C$87</f>
        <v/>
      </c>
      <c r="AB35" s="71">
        <f>IF(N35&lt;=AA35,"OK","NÃO")</f>
        <v/>
      </c>
    </row>
    <row r="36" ht="15" customHeight="1" s="47">
      <c r="A36" s="63">
        <f>Tracado_Perdas!B36</f>
        <v/>
      </c>
      <c r="B36" s="63">
        <f>-Tracado_Perdas!AB36*Tracado_Perdas!H36</f>
        <v/>
      </c>
      <c r="C36" s="67">
        <f>IF(A36&lt;=Dados!$C$5,-Hiperestatico!$H$4/2,Hiperestatico!$H$4/2)</f>
        <v/>
      </c>
      <c r="D36" s="63">
        <f>B36+C36</f>
        <v/>
      </c>
      <c r="E36" s="63">
        <f>Esforcos!L36</f>
        <v/>
      </c>
      <c r="F36" s="63">
        <f>Esforcos!M36</f>
        <v/>
      </c>
      <c r="G36" s="63">
        <f>Esforcos!N36</f>
        <v/>
      </c>
      <c r="H36" s="63">
        <f>0.9*D36+1.4*E36</f>
        <v/>
      </c>
      <c r="I36" s="63">
        <f>0.9*D36+1.4*E36+1.4*F36</f>
        <v/>
      </c>
      <c r="J36" s="63">
        <f>0.9*D36+1.4*E36+1.4*G36</f>
        <v/>
      </c>
      <c r="K36" s="63">
        <f>1.2*D36+E36</f>
        <v/>
      </c>
      <c r="L36" s="63">
        <f>1.2*D36+E36+1.4*F36</f>
        <v/>
      </c>
      <c r="M36" s="63">
        <f>1.2*D36+E36+1.4*G36</f>
        <v/>
      </c>
      <c r="N36" s="63">
        <f>MAX(ABS(H36),ABS(I36),ABS(J36),ABS(K36),ABS(L36),ABS(M36))</f>
        <v/>
      </c>
      <c r="O36" s="63">
        <f>1.4*Esforcos!J36</f>
        <v/>
      </c>
      <c r="P36" s="63">
        <f>1.4*Esforcos!K36</f>
        <v/>
      </c>
      <c r="Q36" s="63">
        <f>MAX(ABS(O36),ABS(P36))</f>
        <v/>
      </c>
      <c r="R36" s="63">
        <f>MAX(Q36,Q35,Q37)</f>
        <v/>
      </c>
      <c r="S36" s="63">
        <f>IF(ABS(O36)&gt;=ABS(P36),0.9*(Tensoes!D36*Dados!$C$11-Tensoes!F36),0.9*(Tensoes!D36*Dados!$C$11+Tensoes!F36))</f>
        <v/>
      </c>
      <c r="T36" s="66">
        <f>MIN(1+S36/MAX(R36,0.000001),2)</f>
        <v/>
      </c>
      <c r="U36" s="66">
        <f>T36*Dados!$C$88</f>
        <v/>
      </c>
      <c r="V36" s="66">
        <f>N36/(Dados!$C$91*Dados!$C$87)/1000</f>
        <v/>
      </c>
      <c r="W36" s="66">
        <f>(V36-U36)/0.9</f>
        <v/>
      </c>
      <c r="X36" s="67">
        <f>MAX(W36,0)/(Dados!$C$84/Dados!$C$62)*Dados!$C$91*10000/2</f>
        <v/>
      </c>
      <c r="Y36" s="67">
        <f>Dados!$C$90*Dados!$C$6*10000/2</f>
        <v/>
      </c>
      <c r="Z36" s="67">
        <f>MAX(X36,Y36)</f>
        <v/>
      </c>
      <c r="AA36" s="63">
        <f>Dados!$C$89*1000*Dados!$C$91*Dados!$C$87</f>
        <v/>
      </c>
      <c r="AB36" s="71">
        <f>IF(N36&lt;=AA36,"OK","NÃO")</f>
        <v/>
      </c>
    </row>
    <row r="37" ht="15" customHeight="1" s="47">
      <c r="A37" s="63">
        <f>Tracado_Perdas!B37</f>
        <v/>
      </c>
      <c r="B37" s="63">
        <f>-Tracado_Perdas!AB37*Tracado_Perdas!H37</f>
        <v/>
      </c>
      <c r="C37" s="67">
        <f>IF(A37&lt;=Dados!$C$5,-Hiperestatico!$H$4/2,Hiperestatico!$H$4/2)</f>
        <v/>
      </c>
      <c r="D37" s="63">
        <f>B37+C37</f>
        <v/>
      </c>
      <c r="E37" s="63">
        <f>Esforcos!L37</f>
        <v/>
      </c>
      <c r="F37" s="63">
        <f>Esforcos!M37</f>
        <v/>
      </c>
      <c r="G37" s="63">
        <f>Esforcos!N37</f>
        <v/>
      </c>
      <c r="H37" s="63">
        <f>0.9*D37+1.4*E37</f>
        <v/>
      </c>
      <c r="I37" s="63">
        <f>0.9*D37+1.4*E37+1.4*F37</f>
        <v/>
      </c>
      <c r="J37" s="63">
        <f>0.9*D37+1.4*E37+1.4*G37</f>
        <v/>
      </c>
      <c r="K37" s="63">
        <f>1.2*D37+E37</f>
        <v/>
      </c>
      <c r="L37" s="63">
        <f>1.2*D37+E37+1.4*F37</f>
        <v/>
      </c>
      <c r="M37" s="63">
        <f>1.2*D37+E37+1.4*G37</f>
        <v/>
      </c>
      <c r="N37" s="63">
        <f>MAX(ABS(H37),ABS(I37),ABS(J37),ABS(K37),ABS(L37),ABS(M37))</f>
        <v/>
      </c>
      <c r="O37" s="63">
        <f>1.4*Esforcos!J37</f>
        <v/>
      </c>
      <c r="P37" s="63">
        <f>1.4*Esforcos!K37</f>
        <v/>
      </c>
      <c r="Q37" s="63">
        <f>MAX(ABS(O37),ABS(P37))</f>
        <v/>
      </c>
      <c r="R37" s="63">
        <f>MAX(Q37,Q36,Q38)</f>
        <v/>
      </c>
      <c r="S37" s="63">
        <f>IF(ABS(O37)&gt;=ABS(P37),0.9*(Tensoes!D37*Dados!$C$11-Tensoes!F37),0.9*(Tensoes!D37*Dados!$C$11+Tensoes!F37))</f>
        <v/>
      </c>
      <c r="T37" s="66">
        <f>MIN(1+S37/MAX(R37,0.000001),2)</f>
        <v/>
      </c>
      <c r="U37" s="66">
        <f>T37*Dados!$C$88</f>
        <v/>
      </c>
      <c r="V37" s="66">
        <f>N37/(Dados!$C$91*Dados!$C$87)/1000</f>
        <v/>
      </c>
      <c r="W37" s="66">
        <f>(V37-U37)/0.9</f>
        <v/>
      </c>
      <c r="X37" s="67">
        <f>MAX(W37,0)/(Dados!$C$84/Dados!$C$62)*Dados!$C$91*10000/2</f>
        <v/>
      </c>
      <c r="Y37" s="67">
        <f>Dados!$C$90*Dados!$C$6*10000/2</f>
        <v/>
      </c>
      <c r="Z37" s="67">
        <f>MAX(X37,Y37)</f>
        <v/>
      </c>
      <c r="AA37" s="63">
        <f>Dados!$C$89*1000*Dados!$C$91*Dados!$C$87</f>
        <v/>
      </c>
      <c r="AB37" s="71">
        <f>IF(N37&lt;=AA37,"OK","NÃO")</f>
        <v/>
      </c>
    </row>
    <row r="38" ht="15" customHeight="1" s="47">
      <c r="A38" s="63">
        <f>Tracado_Perdas!B38</f>
        <v/>
      </c>
      <c r="B38" s="63">
        <f>-Tracado_Perdas!AB38*Tracado_Perdas!H38</f>
        <v/>
      </c>
      <c r="C38" s="67">
        <f>IF(A38&lt;=Dados!$C$5,-Hiperestatico!$H$4/2,Hiperestatico!$H$4/2)</f>
        <v/>
      </c>
      <c r="D38" s="63">
        <f>B38+C38</f>
        <v/>
      </c>
      <c r="E38" s="63">
        <f>Esforcos!L38</f>
        <v/>
      </c>
      <c r="F38" s="63">
        <f>Esforcos!M38</f>
        <v/>
      </c>
      <c r="G38" s="63">
        <f>Esforcos!N38</f>
        <v/>
      </c>
      <c r="H38" s="63">
        <f>0.9*D38+1.4*E38</f>
        <v/>
      </c>
      <c r="I38" s="63">
        <f>0.9*D38+1.4*E38+1.4*F38</f>
        <v/>
      </c>
      <c r="J38" s="63">
        <f>0.9*D38+1.4*E38+1.4*G38</f>
        <v/>
      </c>
      <c r="K38" s="63">
        <f>1.2*D38+E38</f>
        <v/>
      </c>
      <c r="L38" s="63">
        <f>1.2*D38+E38+1.4*F38</f>
        <v/>
      </c>
      <c r="M38" s="63">
        <f>1.2*D38+E38+1.4*G38</f>
        <v/>
      </c>
      <c r="N38" s="63">
        <f>MAX(ABS(H38),ABS(I38),ABS(J38),ABS(K38),ABS(L38),ABS(M38))</f>
        <v/>
      </c>
      <c r="O38" s="63">
        <f>1.4*Esforcos!J38</f>
        <v/>
      </c>
      <c r="P38" s="63">
        <f>1.4*Esforcos!K38</f>
        <v/>
      </c>
      <c r="Q38" s="63">
        <f>MAX(ABS(O38),ABS(P38))</f>
        <v/>
      </c>
      <c r="R38" s="63">
        <f>MAX(Q38,Q37,Q39)</f>
        <v/>
      </c>
      <c r="S38" s="63">
        <f>IF(ABS(O38)&gt;=ABS(P38),0.9*(Tensoes!D38*Dados!$C$11-Tensoes!F38),0.9*(Tensoes!D38*Dados!$C$11+Tensoes!F38))</f>
        <v/>
      </c>
      <c r="T38" s="66">
        <f>MIN(1+S38/MAX(R38,0.000001),2)</f>
        <v/>
      </c>
      <c r="U38" s="66">
        <f>T38*Dados!$C$88</f>
        <v/>
      </c>
      <c r="V38" s="66">
        <f>N38/(Dados!$C$91*Dados!$C$87)/1000</f>
        <v/>
      </c>
      <c r="W38" s="66">
        <f>(V38-U38)/0.9</f>
        <v/>
      </c>
      <c r="X38" s="67">
        <f>MAX(W38,0)/(Dados!$C$84/Dados!$C$62)*Dados!$C$91*10000/2</f>
        <v/>
      </c>
      <c r="Y38" s="67">
        <f>Dados!$C$90*Dados!$C$6*10000/2</f>
        <v/>
      </c>
      <c r="Z38" s="67">
        <f>MAX(X38,Y38)</f>
        <v/>
      </c>
      <c r="AA38" s="63">
        <f>Dados!$C$89*1000*Dados!$C$91*Dados!$C$87</f>
        <v/>
      </c>
      <c r="AB38" s="71">
        <f>IF(N38&lt;=AA38,"OK","NÃO")</f>
        <v/>
      </c>
    </row>
    <row r="39" ht="15" customHeight="1" s="47">
      <c r="A39" s="63">
        <f>Tracado_Perdas!B39</f>
        <v/>
      </c>
      <c r="B39" s="63">
        <f>-Tracado_Perdas!AB39*Tracado_Perdas!H39</f>
        <v/>
      </c>
      <c r="C39" s="67">
        <f>IF(A39&lt;=Dados!$C$5,-Hiperestatico!$H$4/2,Hiperestatico!$H$4/2)</f>
        <v/>
      </c>
      <c r="D39" s="63">
        <f>B39+C39</f>
        <v/>
      </c>
      <c r="E39" s="63">
        <f>Esforcos!L39</f>
        <v/>
      </c>
      <c r="F39" s="63">
        <f>Esforcos!M39</f>
        <v/>
      </c>
      <c r="G39" s="63">
        <f>Esforcos!N39</f>
        <v/>
      </c>
      <c r="H39" s="63">
        <f>0.9*D39+1.4*E39</f>
        <v/>
      </c>
      <c r="I39" s="63">
        <f>0.9*D39+1.4*E39+1.4*F39</f>
        <v/>
      </c>
      <c r="J39" s="63">
        <f>0.9*D39+1.4*E39+1.4*G39</f>
        <v/>
      </c>
      <c r="K39" s="63">
        <f>1.2*D39+E39</f>
        <v/>
      </c>
      <c r="L39" s="63">
        <f>1.2*D39+E39+1.4*F39</f>
        <v/>
      </c>
      <c r="M39" s="63">
        <f>1.2*D39+E39+1.4*G39</f>
        <v/>
      </c>
      <c r="N39" s="63">
        <f>MAX(ABS(H39),ABS(I39),ABS(J39),ABS(K39),ABS(L39),ABS(M39))</f>
        <v/>
      </c>
      <c r="O39" s="63">
        <f>1.4*Esforcos!J39</f>
        <v/>
      </c>
      <c r="P39" s="63">
        <f>1.4*Esforcos!K39</f>
        <v/>
      </c>
      <c r="Q39" s="63">
        <f>MAX(ABS(O39),ABS(P39))</f>
        <v/>
      </c>
      <c r="R39" s="63">
        <f>MAX(Q39,Q38,Q40)</f>
        <v/>
      </c>
      <c r="S39" s="63">
        <f>IF(ABS(O39)&gt;=ABS(P39),0.9*(Tensoes!D39*Dados!$C$11-Tensoes!F39),0.9*(Tensoes!D39*Dados!$C$11+Tensoes!F39))</f>
        <v/>
      </c>
      <c r="T39" s="66">
        <f>MIN(1+S39/MAX(R39,0.000001),2)</f>
        <v/>
      </c>
      <c r="U39" s="66">
        <f>T39*Dados!$C$88</f>
        <v/>
      </c>
      <c r="V39" s="66">
        <f>N39/(Dados!$C$91*Dados!$C$87)/1000</f>
        <v/>
      </c>
      <c r="W39" s="66">
        <f>(V39-U39)/0.9</f>
        <v/>
      </c>
      <c r="X39" s="67">
        <f>MAX(W39,0)/(Dados!$C$84/Dados!$C$62)*Dados!$C$91*10000/2</f>
        <v/>
      </c>
      <c r="Y39" s="67">
        <f>Dados!$C$90*Dados!$C$6*10000/2</f>
        <v/>
      </c>
      <c r="Z39" s="67">
        <f>MAX(X39,Y39)</f>
        <v/>
      </c>
      <c r="AA39" s="63">
        <f>Dados!$C$89*1000*Dados!$C$91*Dados!$C$87</f>
        <v/>
      </c>
      <c r="AB39" s="71">
        <f>IF(N39&lt;=AA39,"OK","NÃO")</f>
        <v/>
      </c>
    </row>
    <row r="40" ht="15" customHeight="1" s="47">
      <c r="A40" s="63">
        <f>Tracado_Perdas!B40</f>
        <v/>
      </c>
      <c r="B40" s="63">
        <f>-Tracado_Perdas!AB40*Tracado_Perdas!H40</f>
        <v/>
      </c>
      <c r="C40" s="67">
        <f>IF(A40&lt;=Dados!$C$5,-Hiperestatico!$H$4/2,Hiperestatico!$H$4/2)</f>
        <v/>
      </c>
      <c r="D40" s="63">
        <f>B40+C40</f>
        <v/>
      </c>
      <c r="E40" s="63">
        <f>Esforcos!L40</f>
        <v/>
      </c>
      <c r="F40" s="63">
        <f>Esforcos!M40</f>
        <v/>
      </c>
      <c r="G40" s="63">
        <f>Esforcos!N40</f>
        <v/>
      </c>
      <c r="H40" s="63">
        <f>0.9*D40+1.4*E40</f>
        <v/>
      </c>
      <c r="I40" s="63">
        <f>0.9*D40+1.4*E40+1.4*F40</f>
        <v/>
      </c>
      <c r="J40" s="63">
        <f>0.9*D40+1.4*E40+1.4*G40</f>
        <v/>
      </c>
      <c r="K40" s="63">
        <f>1.2*D40+E40</f>
        <v/>
      </c>
      <c r="L40" s="63">
        <f>1.2*D40+E40+1.4*F40</f>
        <v/>
      </c>
      <c r="M40" s="63">
        <f>1.2*D40+E40+1.4*G40</f>
        <v/>
      </c>
      <c r="N40" s="63">
        <f>MAX(ABS(H40),ABS(I40),ABS(J40),ABS(K40),ABS(L40),ABS(M40))</f>
        <v/>
      </c>
      <c r="O40" s="63">
        <f>1.4*Esforcos!J40</f>
        <v/>
      </c>
      <c r="P40" s="63">
        <f>1.4*Esforcos!K40</f>
        <v/>
      </c>
      <c r="Q40" s="63">
        <f>MAX(ABS(O40),ABS(P40))</f>
        <v/>
      </c>
      <c r="R40" s="63">
        <f>MAX(Q40,Q39,Q41)</f>
        <v/>
      </c>
      <c r="S40" s="63">
        <f>IF(ABS(O40)&gt;=ABS(P40),0.9*(Tensoes!D40*Dados!$C$11-Tensoes!F40),0.9*(Tensoes!D40*Dados!$C$11+Tensoes!F40))</f>
        <v/>
      </c>
      <c r="T40" s="66">
        <f>MIN(1+S40/MAX(R40,0.000001),2)</f>
        <v/>
      </c>
      <c r="U40" s="66">
        <f>T40*Dados!$C$88</f>
        <v/>
      </c>
      <c r="V40" s="66">
        <f>N40/(Dados!$C$91*Dados!$C$87)/1000</f>
        <v/>
      </c>
      <c r="W40" s="66">
        <f>(V40-U40)/0.9</f>
        <v/>
      </c>
      <c r="X40" s="67">
        <f>MAX(W40,0)/(Dados!$C$84/Dados!$C$62)*Dados!$C$91*10000/2</f>
        <v/>
      </c>
      <c r="Y40" s="67">
        <f>Dados!$C$90*Dados!$C$6*10000/2</f>
        <v/>
      </c>
      <c r="Z40" s="67">
        <f>MAX(X40,Y40)</f>
        <v/>
      </c>
      <c r="AA40" s="63">
        <f>Dados!$C$89*1000*Dados!$C$91*Dados!$C$87</f>
        <v/>
      </c>
      <c r="AB40" s="71">
        <f>IF(N40&lt;=AA40,"OK","NÃO")</f>
        <v/>
      </c>
    </row>
    <row r="41" ht="15" customHeight="1" s="47">
      <c r="A41" s="63">
        <f>Tracado_Perdas!B41</f>
        <v/>
      </c>
      <c r="B41" s="63">
        <f>-Tracado_Perdas!AB41*Tracado_Perdas!H41</f>
        <v/>
      </c>
      <c r="C41" s="67">
        <f>IF(A41&lt;=Dados!$C$5,-Hiperestatico!$H$4/2,Hiperestatico!$H$4/2)</f>
        <v/>
      </c>
      <c r="D41" s="63">
        <f>B41+C41</f>
        <v/>
      </c>
      <c r="E41" s="63">
        <f>Esforcos!L41</f>
        <v/>
      </c>
      <c r="F41" s="63">
        <f>Esforcos!M41</f>
        <v/>
      </c>
      <c r="G41" s="63">
        <f>Esforcos!N41</f>
        <v/>
      </c>
      <c r="H41" s="63">
        <f>0.9*D41+1.4*E41</f>
        <v/>
      </c>
      <c r="I41" s="63">
        <f>0.9*D41+1.4*E41+1.4*F41</f>
        <v/>
      </c>
      <c r="J41" s="63">
        <f>0.9*D41+1.4*E41+1.4*G41</f>
        <v/>
      </c>
      <c r="K41" s="63">
        <f>1.2*D41+E41</f>
        <v/>
      </c>
      <c r="L41" s="63">
        <f>1.2*D41+E41+1.4*F41</f>
        <v/>
      </c>
      <c r="M41" s="63">
        <f>1.2*D41+E41+1.4*G41</f>
        <v/>
      </c>
      <c r="N41" s="63">
        <f>MAX(ABS(H41),ABS(I41),ABS(J41),ABS(K41),ABS(L41),ABS(M41))</f>
        <v/>
      </c>
      <c r="O41" s="63">
        <f>1.4*Esforcos!J41</f>
        <v/>
      </c>
      <c r="P41" s="63">
        <f>1.4*Esforcos!K41</f>
        <v/>
      </c>
      <c r="Q41" s="63">
        <f>MAX(ABS(O41),ABS(P41))</f>
        <v/>
      </c>
      <c r="R41" s="63">
        <f>MAX(Q41,Q40,Q42)</f>
        <v/>
      </c>
      <c r="S41" s="63">
        <f>IF(ABS(O41)&gt;=ABS(P41),0.9*(Tensoes!D41*Dados!$C$11-Tensoes!F41),0.9*(Tensoes!D41*Dados!$C$11+Tensoes!F41))</f>
        <v/>
      </c>
      <c r="T41" s="66">
        <f>MIN(1+S41/MAX(R41,0.000001),2)</f>
        <v/>
      </c>
      <c r="U41" s="66">
        <f>T41*Dados!$C$88</f>
        <v/>
      </c>
      <c r="V41" s="66">
        <f>N41/(Dados!$C$91*Dados!$C$87)/1000</f>
        <v/>
      </c>
      <c r="W41" s="66">
        <f>(V41-U41)/0.9</f>
        <v/>
      </c>
      <c r="X41" s="67">
        <f>MAX(W41,0)/(Dados!$C$84/Dados!$C$62)*Dados!$C$91*10000/2</f>
        <v/>
      </c>
      <c r="Y41" s="67">
        <f>Dados!$C$90*Dados!$C$6*10000/2</f>
        <v/>
      </c>
      <c r="Z41" s="67">
        <f>MAX(X41,Y41)</f>
        <v/>
      </c>
      <c r="AA41" s="63">
        <f>Dados!$C$89*1000*Dados!$C$91*Dados!$C$87</f>
        <v/>
      </c>
      <c r="AB41" s="71">
        <f>IF(N41&lt;=AA41,"OK","NÃO")</f>
        <v/>
      </c>
    </row>
    <row r="42" ht="15" customHeight="1" s="47">
      <c r="A42" s="63">
        <f>Tracado_Perdas!B42</f>
        <v/>
      </c>
      <c r="B42" s="63">
        <f>-Tracado_Perdas!AB42*Tracado_Perdas!H42</f>
        <v/>
      </c>
      <c r="C42" s="67">
        <f>IF(A42&lt;=Dados!$C$5,-Hiperestatico!$H$4/2,Hiperestatico!$H$4/2)</f>
        <v/>
      </c>
      <c r="D42" s="63">
        <f>B42+C42</f>
        <v/>
      </c>
      <c r="E42" s="63">
        <f>Esforcos!L42</f>
        <v/>
      </c>
      <c r="F42" s="63">
        <f>Esforcos!M42</f>
        <v/>
      </c>
      <c r="G42" s="63">
        <f>Esforcos!N42</f>
        <v/>
      </c>
      <c r="H42" s="63">
        <f>0.9*D42+1.4*E42</f>
        <v/>
      </c>
      <c r="I42" s="63">
        <f>0.9*D42+1.4*E42+1.4*F42</f>
        <v/>
      </c>
      <c r="J42" s="63">
        <f>0.9*D42+1.4*E42+1.4*G42</f>
        <v/>
      </c>
      <c r="K42" s="63">
        <f>1.2*D42+E42</f>
        <v/>
      </c>
      <c r="L42" s="63">
        <f>1.2*D42+E42+1.4*F42</f>
        <v/>
      </c>
      <c r="M42" s="63">
        <f>1.2*D42+E42+1.4*G42</f>
        <v/>
      </c>
      <c r="N42" s="63">
        <f>MAX(ABS(H42),ABS(I42),ABS(J42),ABS(K42),ABS(L42),ABS(M42))</f>
        <v/>
      </c>
      <c r="O42" s="63">
        <f>1.4*Esforcos!J42</f>
        <v/>
      </c>
      <c r="P42" s="63">
        <f>1.4*Esforcos!K42</f>
        <v/>
      </c>
      <c r="Q42" s="63">
        <f>MAX(ABS(O42),ABS(P42))</f>
        <v/>
      </c>
      <c r="R42" s="63">
        <f>MAX(Q42,Q41,Q43)</f>
        <v/>
      </c>
      <c r="S42" s="63">
        <f>IF(ABS(O42)&gt;=ABS(P42),0.9*(Tensoes!D42*Dados!$C$11-Tensoes!F42),0.9*(Tensoes!D42*Dados!$C$11+Tensoes!F42))</f>
        <v/>
      </c>
      <c r="T42" s="66">
        <f>MIN(1+S42/MAX(R42,0.000001),2)</f>
        <v/>
      </c>
      <c r="U42" s="66">
        <f>T42*Dados!$C$88</f>
        <v/>
      </c>
      <c r="V42" s="66">
        <f>N42/(Dados!$C$91*Dados!$C$87)/1000</f>
        <v/>
      </c>
      <c r="W42" s="66">
        <f>(V42-U42)/0.9</f>
        <v/>
      </c>
      <c r="X42" s="67">
        <f>MAX(W42,0)/(Dados!$C$84/Dados!$C$62)*Dados!$C$91*10000/2</f>
        <v/>
      </c>
      <c r="Y42" s="67">
        <f>Dados!$C$90*Dados!$C$6*10000/2</f>
        <v/>
      </c>
      <c r="Z42" s="67">
        <f>MAX(X42,Y42)</f>
        <v/>
      </c>
      <c r="AA42" s="63">
        <f>Dados!$C$89*1000*Dados!$C$91*Dados!$C$87</f>
        <v/>
      </c>
      <c r="AB42" s="71">
        <f>IF(N42&lt;=AA42,"OK","NÃO")</f>
        <v/>
      </c>
    </row>
    <row r="43" ht="15" customHeight="1" s="47">
      <c r="A43" s="63">
        <f>Tracado_Perdas!B43</f>
        <v/>
      </c>
      <c r="B43" s="63">
        <f>-Tracado_Perdas!AB43*Tracado_Perdas!H43</f>
        <v/>
      </c>
      <c r="C43" s="67">
        <f>IF(A43&lt;=Dados!$C$5,-Hiperestatico!$H$4/2,Hiperestatico!$H$4/2)</f>
        <v/>
      </c>
      <c r="D43" s="63">
        <f>B43+C43</f>
        <v/>
      </c>
      <c r="E43" s="63">
        <f>Esforcos!L43</f>
        <v/>
      </c>
      <c r="F43" s="63">
        <f>Esforcos!M43</f>
        <v/>
      </c>
      <c r="G43" s="63">
        <f>Esforcos!N43</f>
        <v/>
      </c>
      <c r="H43" s="63">
        <f>0.9*D43+1.4*E43</f>
        <v/>
      </c>
      <c r="I43" s="63">
        <f>0.9*D43+1.4*E43+1.4*F43</f>
        <v/>
      </c>
      <c r="J43" s="63">
        <f>0.9*D43+1.4*E43+1.4*G43</f>
        <v/>
      </c>
      <c r="K43" s="63">
        <f>1.2*D43+E43</f>
        <v/>
      </c>
      <c r="L43" s="63">
        <f>1.2*D43+E43+1.4*F43</f>
        <v/>
      </c>
      <c r="M43" s="63">
        <f>1.2*D43+E43+1.4*G43</f>
        <v/>
      </c>
      <c r="N43" s="63">
        <f>MAX(ABS(H43),ABS(I43),ABS(J43),ABS(K43),ABS(L43),ABS(M43))</f>
        <v/>
      </c>
      <c r="O43" s="63">
        <f>1.4*Esforcos!J43</f>
        <v/>
      </c>
      <c r="P43" s="63">
        <f>1.4*Esforcos!K43</f>
        <v/>
      </c>
      <c r="Q43" s="63">
        <f>MAX(ABS(O43),ABS(P43))</f>
        <v/>
      </c>
      <c r="R43" s="63">
        <f>MAX(Q43,Q42,Q44)</f>
        <v/>
      </c>
      <c r="S43" s="63">
        <f>IF(ABS(O43)&gt;=ABS(P43),0.9*(Tensoes!D43*Dados!$C$11-Tensoes!F43),0.9*(Tensoes!D43*Dados!$C$11+Tensoes!F43))</f>
        <v/>
      </c>
      <c r="T43" s="66">
        <f>MIN(1+S43/MAX(R43,0.000001),2)</f>
        <v/>
      </c>
      <c r="U43" s="66">
        <f>T43*Dados!$C$88</f>
        <v/>
      </c>
      <c r="V43" s="66">
        <f>N43/(Dados!$C$91*Dados!$C$87)/1000</f>
        <v/>
      </c>
      <c r="W43" s="66">
        <f>(V43-U43)/0.9</f>
        <v/>
      </c>
      <c r="X43" s="67">
        <f>MAX(W43,0)/(Dados!$C$84/Dados!$C$62)*Dados!$C$91*10000/2</f>
        <v/>
      </c>
      <c r="Y43" s="67">
        <f>Dados!$C$90*Dados!$C$6*10000/2</f>
        <v/>
      </c>
      <c r="Z43" s="67">
        <f>MAX(X43,Y43)</f>
        <v/>
      </c>
      <c r="AA43" s="63">
        <f>Dados!$C$89*1000*Dados!$C$91*Dados!$C$87</f>
        <v/>
      </c>
      <c r="AB43" s="71">
        <f>IF(N43&lt;=AA43,"OK","NÃO")</f>
        <v/>
      </c>
    </row>
    <row r="44" ht="15" customHeight="1" s="47">
      <c r="A44" s="63">
        <f>Tracado_Perdas!B44</f>
        <v/>
      </c>
      <c r="B44" s="63">
        <f>-Tracado_Perdas!AB44*Tracado_Perdas!H44</f>
        <v/>
      </c>
      <c r="C44" s="67">
        <f>IF(A44&lt;=Dados!$C$5,-Hiperestatico!$H$4/2,Hiperestatico!$H$4/2)</f>
        <v/>
      </c>
      <c r="D44" s="63">
        <f>B44+C44</f>
        <v/>
      </c>
      <c r="E44" s="63">
        <f>Esforcos!L44</f>
        <v/>
      </c>
      <c r="F44" s="63">
        <f>Esforcos!M44</f>
        <v/>
      </c>
      <c r="G44" s="63">
        <f>Esforcos!N44</f>
        <v/>
      </c>
      <c r="H44" s="63">
        <f>0.9*D44+1.4*E44</f>
        <v/>
      </c>
      <c r="I44" s="63">
        <f>0.9*D44+1.4*E44+1.4*F44</f>
        <v/>
      </c>
      <c r="J44" s="63">
        <f>0.9*D44+1.4*E44+1.4*G44</f>
        <v/>
      </c>
      <c r="K44" s="63">
        <f>1.2*D44+E44</f>
        <v/>
      </c>
      <c r="L44" s="63">
        <f>1.2*D44+E44+1.4*F44</f>
        <v/>
      </c>
      <c r="M44" s="63">
        <f>1.2*D44+E44+1.4*G44</f>
        <v/>
      </c>
      <c r="N44" s="63">
        <f>MAX(ABS(H44),ABS(I44),ABS(J44),ABS(K44),ABS(L44),ABS(M44))</f>
        <v/>
      </c>
      <c r="O44" s="63">
        <f>1.4*Esforcos!J44</f>
        <v/>
      </c>
      <c r="P44" s="63">
        <f>1.4*Esforcos!K44</f>
        <v/>
      </c>
      <c r="Q44" s="63">
        <f>MAX(ABS(O44),ABS(P44))</f>
        <v/>
      </c>
      <c r="R44" s="63">
        <f>MAX(Q44,Q43,Q45)</f>
        <v/>
      </c>
      <c r="S44" s="63">
        <f>IF(ABS(O44)&gt;=ABS(P44),0.9*(Tensoes!D44*Dados!$C$11-Tensoes!F44),0.9*(Tensoes!D44*Dados!$C$11+Tensoes!F44))</f>
        <v/>
      </c>
      <c r="T44" s="66">
        <f>MIN(1+S44/MAX(R44,0.000001),2)</f>
        <v/>
      </c>
      <c r="U44" s="66">
        <f>T44*Dados!$C$88</f>
        <v/>
      </c>
      <c r="V44" s="66">
        <f>N44/(Dados!$C$91*Dados!$C$87)/1000</f>
        <v/>
      </c>
      <c r="W44" s="66">
        <f>(V44-U44)/0.9</f>
        <v/>
      </c>
      <c r="X44" s="67">
        <f>MAX(W44,0)/(Dados!$C$84/Dados!$C$62)*Dados!$C$91*10000/2</f>
        <v/>
      </c>
      <c r="Y44" s="67">
        <f>Dados!$C$90*Dados!$C$6*10000/2</f>
        <v/>
      </c>
      <c r="Z44" s="67">
        <f>MAX(X44,Y44)</f>
        <v/>
      </c>
      <c r="AA44" s="63">
        <f>Dados!$C$89*1000*Dados!$C$91*Dados!$C$87</f>
        <v/>
      </c>
      <c r="AB44" s="71">
        <f>IF(N44&lt;=AA44,"OK","NÃO")</f>
        <v/>
      </c>
    </row>
    <row r="45" ht="15" customHeight="1" s="47">
      <c r="A45" s="63">
        <f>Tracado_Perdas!B45</f>
        <v/>
      </c>
      <c r="B45" s="63">
        <f>-Tracado_Perdas!AB45*Tracado_Perdas!H45</f>
        <v/>
      </c>
      <c r="C45" s="67">
        <f>IF(A45&lt;=Dados!$C$5,-Hiperestatico!$H$4/2,Hiperestatico!$H$4/2)</f>
        <v/>
      </c>
      <c r="D45" s="63">
        <f>B45+C45</f>
        <v/>
      </c>
      <c r="E45" s="63">
        <f>Esforcos!L45</f>
        <v/>
      </c>
      <c r="F45" s="63">
        <f>Esforcos!M45</f>
        <v/>
      </c>
      <c r="G45" s="63">
        <f>Esforcos!N45</f>
        <v/>
      </c>
      <c r="H45" s="63">
        <f>0.9*D45+1.4*E45</f>
        <v/>
      </c>
      <c r="I45" s="63">
        <f>0.9*D45+1.4*E45+1.4*F45</f>
        <v/>
      </c>
      <c r="J45" s="63">
        <f>0.9*D45+1.4*E45+1.4*G45</f>
        <v/>
      </c>
      <c r="K45" s="63">
        <f>1.2*D45+E45</f>
        <v/>
      </c>
      <c r="L45" s="63">
        <f>1.2*D45+E45+1.4*F45</f>
        <v/>
      </c>
      <c r="M45" s="63">
        <f>1.2*D45+E45+1.4*G45</f>
        <v/>
      </c>
      <c r="N45" s="63">
        <f>MAX(ABS(H45),ABS(I45),ABS(J45),ABS(K45),ABS(L45),ABS(M45))</f>
        <v/>
      </c>
      <c r="O45" s="63">
        <f>1.4*Esforcos!J45</f>
        <v/>
      </c>
      <c r="P45" s="63">
        <f>1.4*Esforcos!K45</f>
        <v/>
      </c>
      <c r="Q45" s="63">
        <f>MAX(ABS(O45),ABS(P45))</f>
        <v/>
      </c>
      <c r="R45" s="63">
        <f>MAX(Q45,Q44,Q46)</f>
        <v/>
      </c>
      <c r="S45" s="63">
        <f>IF(ABS(O45)&gt;=ABS(P45),0.9*(Tensoes!D45*Dados!$C$11-Tensoes!F45),0.9*(Tensoes!D45*Dados!$C$11+Tensoes!F45))</f>
        <v/>
      </c>
      <c r="T45" s="66">
        <f>MIN(1+S45/MAX(R45,0.000001),2)</f>
        <v/>
      </c>
      <c r="U45" s="66">
        <f>T45*Dados!$C$88</f>
        <v/>
      </c>
      <c r="V45" s="66">
        <f>N45/(Dados!$C$91*Dados!$C$87)/1000</f>
        <v/>
      </c>
      <c r="W45" s="66">
        <f>(V45-U45)/0.9</f>
        <v/>
      </c>
      <c r="X45" s="67">
        <f>MAX(W45,0)/(Dados!$C$84/Dados!$C$62)*Dados!$C$91*10000/2</f>
        <v/>
      </c>
      <c r="Y45" s="67">
        <f>Dados!$C$90*Dados!$C$6*10000/2</f>
        <v/>
      </c>
      <c r="Z45" s="67">
        <f>MAX(X45,Y45)</f>
        <v/>
      </c>
      <c r="AA45" s="63">
        <f>Dados!$C$89*1000*Dados!$C$91*Dados!$C$87</f>
        <v/>
      </c>
      <c r="AB45" s="71">
        <f>IF(N45&lt;=AA45,"OK","NÃO")</f>
        <v/>
      </c>
    </row>
    <row r="46" ht="15" customHeight="1" s="47">
      <c r="A46" s="63">
        <f>Tracado_Perdas!B46</f>
        <v/>
      </c>
      <c r="B46" s="63">
        <f>-Tracado_Perdas!AB46*Tracado_Perdas!H46</f>
        <v/>
      </c>
      <c r="C46" s="67">
        <f>IF(A46&lt;=Dados!$C$5,-Hiperestatico!$H$4/2,Hiperestatico!$H$4/2)</f>
        <v/>
      </c>
      <c r="D46" s="63">
        <f>B46+C46</f>
        <v/>
      </c>
      <c r="E46" s="63">
        <f>Esforcos!L46</f>
        <v/>
      </c>
      <c r="F46" s="63">
        <f>Esforcos!M46</f>
        <v/>
      </c>
      <c r="G46" s="63">
        <f>Esforcos!N46</f>
        <v/>
      </c>
      <c r="H46" s="63">
        <f>0.9*D46+1.4*E46</f>
        <v/>
      </c>
      <c r="I46" s="63">
        <f>0.9*D46+1.4*E46+1.4*F46</f>
        <v/>
      </c>
      <c r="J46" s="63">
        <f>0.9*D46+1.4*E46+1.4*G46</f>
        <v/>
      </c>
      <c r="K46" s="63">
        <f>1.2*D46+E46</f>
        <v/>
      </c>
      <c r="L46" s="63">
        <f>1.2*D46+E46+1.4*F46</f>
        <v/>
      </c>
      <c r="M46" s="63">
        <f>1.2*D46+E46+1.4*G46</f>
        <v/>
      </c>
      <c r="N46" s="63">
        <f>MAX(ABS(H46),ABS(I46),ABS(J46),ABS(K46),ABS(L46),ABS(M46))</f>
        <v/>
      </c>
      <c r="O46" s="63">
        <f>1.4*Esforcos!J46</f>
        <v/>
      </c>
      <c r="P46" s="63">
        <f>1.4*Esforcos!K46</f>
        <v/>
      </c>
      <c r="Q46" s="63">
        <f>MAX(ABS(O46),ABS(P46))</f>
        <v/>
      </c>
      <c r="R46" s="63">
        <f>MAX(Q46,Q45,Q47)</f>
        <v/>
      </c>
      <c r="S46" s="63">
        <f>IF(ABS(O46)&gt;=ABS(P46),0.9*(Tensoes!D46*Dados!$C$11-Tensoes!F46),0.9*(Tensoes!D46*Dados!$C$11+Tensoes!F46))</f>
        <v/>
      </c>
      <c r="T46" s="66">
        <f>MIN(1+S46/MAX(R46,0.000001),2)</f>
        <v/>
      </c>
      <c r="U46" s="66">
        <f>T46*Dados!$C$88</f>
        <v/>
      </c>
      <c r="V46" s="66">
        <f>N46/(Dados!$C$91*Dados!$C$87)/1000</f>
        <v/>
      </c>
      <c r="W46" s="66">
        <f>(V46-U46)/0.9</f>
        <v/>
      </c>
      <c r="X46" s="67">
        <f>MAX(W46,0)/(Dados!$C$84/Dados!$C$62)*Dados!$C$91*10000/2</f>
        <v/>
      </c>
      <c r="Y46" s="67">
        <f>Dados!$C$90*Dados!$C$6*10000/2</f>
        <v/>
      </c>
      <c r="Z46" s="67">
        <f>MAX(X46,Y46)</f>
        <v/>
      </c>
      <c r="AA46" s="63">
        <f>Dados!$C$89*1000*Dados!$C$91*Dados!$C$87</f>
        <v/>
      </c>
      <c r="AB46" s="71">
        <f>IF(N46&lt;=AA46,"OK","NÃO")</f>
        <v/>
      </c>
    </row>
    <row r="47" ht="15" customHeight="1" s="47">
      <c r="A47" s="63">
        <f>Tracado_Perdas!B47</f>
        <v/>
      </c>
      <c r="B47" s="63">
        <f>-Tracado_Perdas!AB47*Tracado_Perdas!H47</f>
        <v/>
      </c>
      <c r="C47" s="67">
        <f>IF(A47&lt;=Dados!$C$5,-Hiperestatico!$H$4/2,Hiperestatico!$H$4/2)</f>
        <v/>
      </c>
      <c r="D47" s="63">
        <f>B47+C47</f>
        <v/>
      </c>
      <c r="E47" s="63">
        <f>Esforcos!L47</f>
        <v/>
      </c>
      <c r="F47" s="63">
        <f>Esforcos!M47</f>
        <v/>
      </c>
      <c r="G47" s="63">
        <f>Esforcos!N47</f>
        <v/>
      </c>
      <c r="H47" s="63">
        <f>0.9*D47+1.4*E47</f>
        <v/>
      </c>
      <c r="I47" s="63">
        <f>0.9*D47+1.4*E47+1.4*F47</f>
        <v/>
      </c>
      <c r="J47" s="63">
        <f>0.9*D47+1.4*E47+1.4*G47</f>
        <v/>
      </c>
      <c r="K47" s="63">
        <f>1.2*D47+E47</f>
        <v/>
      </c>
      <c r="L47" s="63">
        <f>1.2*D47+E47+1.4*F47</f>
        <v/>
      </c>
      <c r="M47" s="63">
        <f>1.2*D47+E47+1.4*G47</f>
        <v/>
      </c>
      <c r="N47" s="63">
        <f>MAX(ABS(H47),ABS(I47),ABS(J47),ABS(K47),ABS(L47),ABS(M47))</f>
        <v/>
      </c>
      <c r="O47" s="63">
        <f>1.4*Esforcos!J47</f>
        <v/>
      </c>
      <c r="P47" s="63">
        <f>1.4*Esforcos!K47</f>
        <v/>
      </c>
      <c r="Q47" s="63">
        <f>MAX(ABS(O47),ABS(P47))</f>
        <v/>
      </c>
      <c r="R47" s="63">
        <f>MAX(Q47,Q46,Q48)</f>
        <v/>
      </c>
      <c r="S47" s="63">
        <f>IF(ABS(O47)&gt;=ABS(P47),0.9*(Tensoes!D47*Dados!$C$11-Tensoes!F47),0.9*(Tensoes!D47*Dados!$C$11+Tensoes!F47))</f>
        <v/>
      </c>
      <c r="T47" s="66">
        <f>MIN(1+S47/MAX(R47,0.000001),2)</f>
        <v/>
      </c>
      <c r="U47" s="66">
        <f>T47*Dados!$C$88</f>
        <v/>
      </c>
      <c r="V47" s="66">
        <f>N47/(Dados!$C$91*Dados!$C$87)/1000</f>
        <v/>
      </c>
      <c r="W47" s="66">
        <f>(V47-U47)/0.9</f>
        <v/>
      </c>
      <c r="X47" s="67">
        <f>MAX(W47,0)/(Dados!$C$84/Dados!$C$62)*Dados!$C$91*10000/2</f>
        <v/>
      </c>
      <c r="Y47" s="67">
        <f>Dados!$C$90*Dados!$C$6*10000/2</f>
        <v/>
      </c>
      <c r="Z47" s="67">
        <f>MAX(X47,Y47)</f>
        <v/>
      </c>
      <c r="AA47" s="63">
        <f>Dados!$C$89*1000*Dados!$C$91*Dados!$C$87</f>
        <v/>
      </c>
      <c r="AB47" s="71">
        <f>IF(N47&lt;=AA47,"OK","NÃO")</f>
        <v/>
      </c>
    </row>
    <row r="48" ht="15" customHeight="1" s="47">
      <c r="A48" s="63">
        <f>Tracado_Perdas!B48</f>
        <v/>
      </c>
      <c r="B48" s="63">
        <f>-Tracado_Perdas!AB48*Tracado_Perdas!H48</f>
        <v/>
      </c>
      <c r="C48" s="67">
        <f>IF(A48&lt;=Dados!$C$5,-Hiperestatico!$H$4/2,Hiperestatico!$H$4/2)</f>
        <v/>
      </c>
      <c r="D48" s="63">
        <f>B48+C48</f>
        <v/>
      </c>
      <c r="E48" s="63">
        <f>Esforcos!L48</f>
        <v/>
      </c>
      <c r="F48" s="63">
        <f>Esforcos!M48</f>
        <v/>
      </c>
      <c r="G48" s="63">
        <f>Esforcos!N48</f>
        <v/>
      </c>
      <c r="H48" s="63">
        <f>0.9*D48+1.4*E48</f>
        <v/>
      </c>
      <c r="I48" s="63">
        <f>0.9*D48+1.4*E48+1.4*F48</f>
        <v/>
      </c>
      <c r="J48" s="63">
        <f>0.9*D48+1.4*E48+1.4*G48</f>
        <v/>
      </c>
      <c r="K48" s="63">
        <f>1.2*D48+E48</f>
        <v/>
      </c>
      <c r="L48" s="63">
        <f>1.2*D48+E48+1.4*F48</f>
        <v/>
      </c>
      <c r="M48" s="63">
        <f>1.2*D48+E48+1.4*G48</f>
        <v/>
      </c>
      <c r="N48" s="63">
        <f>MAX(ABS(H48),ABS(I48),ABS(J48),ABS(K48),ABS(L48),ABS(M48))</f>
        <v/>
      </c>
      <c r="O48" s="63">
        <f>1.4*Esforcos!J48</f>
        <v/>
      </c>
      <c r="P48" s="63">
        <f>1.4*Esforcos!K48</f>
        <v/>
      </c>
      <c r="Q48" s="63">
        <f>MAX(ABS(O48),ABS(P48))</f>
        <v/>
      </c>
      <c r="R48" s="63">
        <f>MAX(Q48,Q47)</f>
        <v/>
      </c>
      <c r="S48" s="63">
        <f>IF(ABS(O48)&gt;=ABS(P48),0.9*(Tensoes!D48*Dados!$C$11-Tensoes!F48),0.9*(Tensoes!D48*Dados!$C$11+Tensoes!F48))</f>
        <v/>
      </c>
      <c r="T48" s="66">
        <f>MIN(1+S48/MAX(R48,0.000001),2)</f>
        <v/>
      </c>
      <c r="U48" s="66">
        <f>T48*Dados!$C$88</f>
        <v/>
      </c>
      <c r="V48" s="66">
        <f>N48/(Dados!$C$91*Dados!$C$87)/1000</f>
        <v/>
      </c>
      <c r="W48" s="66">
        <f>(V48-U48)/0.9</f>
        <v/>
      </c>
      <c r="X48" s="67">
        <f>MAX(W48,0)/(Dados!$C$84/Dados!$C$62)*Dados!$C$91*10000/2</f>
        <v/>
      </c>
      <c r="Y48" s="67">
        <f>Dados!$C$90*Dados!$C$6*10000/2</f>
        <v/>
      </c>
      <c r="Z48" s="67">
        <f>MAX(X48,Y48)</f>
        <v/>
      </c>
      <c r="AA48" s="63">
        <f>Dados!$C$89*1000*Dados!$C$91*Dados!$C$87</f>
        <v/>
      </c>
      <c r="AB48" s="71">
        <f>IF(N48&lt;=AA48,"OK","NÃO")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D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8" customWidth="1" style="46" min="1" max="1"/>
    <col width="18" customWidth="1" style="46" min="2" max="3"/>
  </cols>
  <sheetData>
    <row r="1" ht="16.15" customHeight="1" s="47">
      <c r="A1" s="59" t="inlineStr">
        <is>
          <t>Verificação à ruptura (ELU - flexão)</t>
        </is>
      </c>
    </row>
    <row r="2" ht="15" customHeight="1" s="47">
      <c r="A2" s="49" t="inlineStr">
        <is>
          <t>Pré-alongamento (neutralização), diagrama bilinear do aço de protensão (patamar em fpyd), retângulo de tensões 0,8x·0,85·fcd. A' = armadura passiva comprimida (entrada).</t>
        </is>
      </c>
    </row>
    <row r="4" ht="15" customHeight="1" s="47">
      <c r="A4" s="72" t="inlineStr">
        <is>
          <t>Grandeza</t>
        </is>
      </c>
      <c r="B4" s="72" t="inlineStr">
        <is>
          <t>Apoio B (x=10 m)</t>
        </is>
      </c>
      <c r="C4" s="72" t="inlineStr">
        <is>
          <t>Vão (x=4,0 m)</t>
        </is>
      </c>
      <c r="D4" s="72" t="inlineStr">
        <is>
          <t>Unid.</t>
        </is>
      </c>
    </row>
    <row r="5" ht="15" customHeight="1" s="47">
      <c r="A5" s="54" t="inlineStr">
        <is>
          <t>Linha de estação</t>
        </is>
      </c>
      <c r="B5" s="62" t="n">
        <v>28</v>
      </c>
      <c r="C5" s="62" t="n">
        <v>16</v>
      </c>
    </row>
    <row r="6" ht="15" customHeight="1" s="47">
      <c r="A6" s="54" t="inlineStr">
        <is>
          <t>Face comprimida</t>
        </is>
      </c>
      <c r="B6" s="71" t="inlineStr">
        <is>
          <t>inferior</t>
        </is>
      </c>
      <c r="C6" s="71" t="inlineStr">
        <is>
          <t>superior</t>
        </is>
      </c>
    </row>
    <row r="7" ht="15" customHeight="1" s="47">
      <c r="A7" s="54" t="inlineStr">
        <is>
          <t>e (cabo, + abaixo CG)</t>
        </is>
      </c>
      <c r="B7" s="66">
        <f>Tracado_Perdas!D28</f>
        <v/>
      </c>
      <c r="C7" s="66">
        <f>Tracado_Perdas!D16</f>
        <v/>
      </c>
    </row>
    <row r="8" ht="15" customHeight="1" s="47">
      <c r="A8" s="54" t="inlineStr">
        <is>
          <t>dp (cabo à face comprimida)</t>
        </is>
      </c>
      <c r="B8" s="66">
        <f>Dados!$C$7/2-B7</f>
        <v/>
      </c>
      <c r="C8" s="66">
        <f>Dados!$C$7/2+C7</f>
        <v/>
      </c>
    </row>
    <row r="9" ht="15" customHeight="1" s="47">
      <c r="A9" s="54" t="inlineStr">
        <is>
          <t>P∞ no cabo</t>
        </is>
      </c>
      <c r="B9" s="63">
        <f>Tracado_Perdas!AB28</f>
        <v/>
      </c>
      <c r="C9" s="63">
        <f>Tracado_Perdas!AB16</f>
        <v/>
      </c>
    </row>
    <row r="10" ht="15" customHeight="1" s="47">
      <c r="A10" s="54" t="inlineStr">
        <is>
          <t>σp,∞</t>
        </is>
      </c>
      <c r="B10" s="63">
        <f>Tracado_Perdas!AA28</f>
        <v/>
      </c>
      <c r="C10" s="63">
        <f>Tracado_Perdas!AA16</f>
        <v/>
      </c>
    </row>
    <row r="11" ht="15" customHeight="1" s="47">
      <c r="A11" s="54" t="inlineStr">
        <is>
          <t>εp0 = σ∞/Ep + P∞/(Ac·Ecs)·(1+e²Ac/Ic)</t>
        </is>
      </c>
      <c r="B11" s="65">
        <f>B10/Dados!$C$65+B9/(Dados!$C$8*Dados!$C$20*1000)*(1+B7^2*Dados!$C$8/Dados!$C$9)</f>
        <v/>
      </c>
      <c r="C11" s="65">
        <f>C10/Dados!$C$65+C9/(Dados!$C$8*Dados!$C$20*1000)*(1+C7^2*Dados!$C$8/Dados!$C$9)</f>
        <v/>
      </c>
    </row>
    <row r="12" ht="15" customHeight="1" s="47">
      <c r="A12" s="54" t="inlineStr">
        <is>
          <t>A' (compressão, passiva)</t>
        </is>
      </c>
      <c r="B12" s="73" t="n">
        <v>4.91</v>
      </c>
      <c r="C12" s="73" t="n">
        <v>2.45</v>
      </c>
    </row>
    <row r="13" ht="15" customHeight="1" s="47">
      <c r="A13" s="54" t="inlineStr">
        <is>
          <t>d' (A' à face comprimida)</t>
        </is>
      </c>
      <c r="B13" s="74" t="n">
        <v>0.05</v>
      </c>
      <c r="C13" s="74" t="n">
        <v>0.05</v>
      </c>
    </row>
    <row r="14" ht="15" customHeight="1" s="47">
      <c r="A14" s="54" t="inlineStr">
        <is>
          <t>Tp = Ap·fpyd</t>
        </is>
      </c>
      <c r="B14" s="63">
        <f>Dados!$C$59*Dados!$C$63*1000</f>
        <v/>
      </c>
      <c r="C14" s="63">
        <f>Dados!$C$59*Dados!$C$63*1000</f>
        <v/>
      </c>
    </row>
    <row r="15" ht="15" customHeight="1" s="47">
      <c r="A15" s="54" t="inlineStr">
        <is>
          <t>Cs = A'·fyd</t>
        </is>
      </c>
      <c r="B15" s="63">
        <f>B12*0.0001*Dados!$C$84/Dados!$C$62*1000</f>
        <v/>
      </c>
      <c r="C15" s="63">
        <f>C12*0.0001*Dados!$C$84/Dados!$C$62*1000</f>
        <v/>
      </c>
    </row>
    <row r="16" ht="15" customHeight="1" s="47">
      <c r="A16" s="54" t="inlineStr">
        <is>
          <t>x = (Tp - Cs)/(0,85·fcd·0,8·bw)</t>
        </is>
      </c>
      <c r="B16" s="64">
        <f>(B14-B15)/(0.85*Dados!$C$14*1000*0.8*Dados!$C$6)</f>
        <v/>
      </c>
      <c r="C16" s="64">
        <f>(C14-C15)/(0.85*Dados!$C$14*1000*0.8*Dados!$C$6)</f>
        <v/>
      </c>
    </row>
    <row r="17" ht="15" customHeight="1" s="47">
      <c r="A17" s="54" t="inlineStr">
        <is>
          <t>x/dp</t>
        </is>
      </c>
      <c r="B17" s="66">
        <f>B16/B8</f>
        <v/>
      </c>
      <c r="C17" s="66">
        <f>C16/C8</f>
        <v/>
      </c>
    </row>
    <row r="18" ht="15" customHeight="1" s="47">
      <c r="A18" s="54" t="inlineStr">
        <is>
          <t>εp = εp0 + 3,5‰·(dp-x)/x</t>
        </is>
      </c>
      <c r="B18" s="65">
        <f>B11+0.0035*(B8-B16)/B16</f>
        <v/>
      </c>
      <c r="C18" s="65">
        <f>C11+0.0035*(C8-C16)/C16</f>
        <v/>
      </c>
    </row>
    <row r="19" ht="15" customHeight="1" s="47">
      <c r="A19" s="54" t="inlineStr">
        <is>
          <t>εpy = fpyd/Ep  (εp ≥ εpy ?)</t>
        </is>
      </c>
      <c r="B19" s="71">
        <f>IF(B18&gt;=Dados!$C$63/Dados!$C$65,"escoamento OK","VERIFICAR")</f>
        <v/>
      </c>
      <c r="C19" s="71">
        <f>IF(C18&gt;=Dados!$C$63/Dados!$C$65,"escoamento OK","VERIFICAR")</f>
        <v/>
      </c>
    </row>
    <row r="20" ht="15" customHeight="1" s="47">
      <c r="A20" s="54" t="inlineStr">
        <is>
          <t>ε's = 3,5‰·(x-d')/x ≥ εyd ?</t>
        </is>
      </c>
      <c r="B20" s="71">
        <f>IF(0.0035*(B16-B13)/B16&gt;=Dados!$C$84/Dados!$C$62/Dados!$C$86,"escoa","VERIFICAR")</f>
        <v/>
      </c>
      <c r="C20" s="71">
        <f>IF(0.0035*(C16-C13)/C16&gt;=Dados!$C$84/Dados!$C$62/Dados!$C$86,"escoa","VERIFICAR")</f>
        <v/>
      </c>
    </row>
    <row r="21" ht="15" customHeight="1" s="47">
      <c r="A21" s="54" t="inlineStr">
        <is>
          <t>Cc = Tp - Cs</t>
        </is>
      </c>
      <c r="B21" s="63">
        <f>B14-B15</f>
        <v/>
      </c>
      <c r="C21" s="63">
        <f>C14-C15</f>
        <v/>
      </c>
    </row>
    <row r="22" ht="15" customHeight="1" s="47">
      <c r="A22" s="54" t="inlineStr">
        <is>
          <t>MRd = Cc(dp-0,4x)+Cs(dp-d')</t>
        </is>
      </c>
      <c r="B22" s="75">
        <f>B21*(B8-0.4*B16)+B15*(B8-B13)</f>
        <v/>
      </c>
      <c r="C22" s="75">
        <f>C21*(C8-0.4*C16)+C15*(C8-C13)</f>
        <v/>
      </c>
    </row>
    <row r="23" ht="15" customHeight="1" s="47">
      <c r="A23" s="54" t="inlineStr">
        <is>
          <t>M_hip,∞ na seção</t>
        </is>
      </c>
      <c r="B23" s="63">
        <f>Hiperestatico!H28</f>
        <v/>
      </c>
      <c r="C23" s="63">
        <f>Hiperestatico!H16</f>
        <v/>
      </c>
    </row>
    <row r="24" ht="15" customHeight="1" s="47">
      <c r="A24" s="54" t="inlineStr">
        <is>
          <t>Msd externo = 1,4(Mg+Mq)</t>
        </is>
      </c>
      <c r="B24" s="63">
        <f>1.4*Esforcos!K28</f>
        <v/>
      </c>
      <c r="C24" s="63">
        <f>1.4*Esforcos!J16</f>
        <v/>
      </c>
    </row>
    <row r="25" ht="15" customHeight="1" s="47">
      <c r="A25" s="54" t="inlineStr">
        <is>
          <t>γp (1,2 desfavorável / 0,9 favorável)</t>
        </is>
      </c>
      <c r="B25" s="63">
        <f>IF(B23&gt;0,0.9,1.2)</f>
        <v/>
      </c>
      <c r="C25" s="63">
        <f>IF(C23&lt;0,0.9,1.2)</f>
        <v/>
      </c>
    </row>
    <row r="26" ht="15" customHeight="1" s="47">
      <c r="A26" s="54" t="inlineStr">
        <is>
          <t>Msd = externo + γp·M_hip</t>
        </is>
      </c>
      <c r="B26" s="75">
        <f>B24+B25*B23</f>
        <v/>
      </c>
      <c r="C26" s="75">
        <f>C24+C25*C23</f>
        <v/>
      </c>
    </row>
    <row r="27" ht="15" customHeight="1" s="47">
      <c r="A27" s="54" t="inlineStr">
        <is>
          <t>|Msd| ≤ MRd ?</t>
        </is>
      </c>
      <c r="B27" s="76">
        <f>IF(ABS(B26)&lt;=B22,"OK","NÃO")</f>
        <v/>
      </c>
      <c r="C27" s="76">
        <f>IF(ABS(C26)&lt;=C22,"OK","NÃO")</f>
        <v/>
      </c>
    </row>
    <row r="28" ht="15" customHeight="1" s="47">
      <c r="A28" s="54" t="inlineStr">
        <is>
          <t>MRd/|Msd|</t>
        </is>
      </c>
      <c r="B28" s="77">
        <f>B22/ABS(B26)</f>
        <v/>
      </c>
      <c r="C28" s="77">
        <f>C22/ABS(C26)</f>
        <v/>
      </c>
    </row>
    <row r="29" ht="15" customHeight="1" s="47">
      <c r="A29" s="54" t="inlineStr">
        <is>
          <t>Ductilidade x/d ≤ 0,45 ?</t>
        </is>
      </c>
      <c r="B29" s="71">
        <f>IF(B17&lt;=0.45,"OK","VERIFICAR A'")</f>
        <v/>
      </c>
      <c r="C29" s="71">
        <f>IF(C17&lt;=0.45,"OK","VERIFICAR A'")</f>
        <v/>
      </c>
    </row>
    <row r="30" ht="15" customHeight="1" s="47">
      <c r="A30" s="54" t="inlineStr">
        <is>
          <t>Md,mín = 0,8·W·fctk,sup (NBR 17.3.5.2.1)</t>
        </is>
      </c>
      <c r="B30" s="63">
        <f>0.8*Dados!$C$10*1.3*Dados!$C$15*1000</f>
        <v/>
      </c>
      <c r="C30" s="63">
        <f>0.8*Dados!$C$10*1.3*Dados!$C$15*1000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C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6" customWidth="1" style="46" min="1" max="1"/>
    <col width="14" customWidth="1" style="46" min="2" max="2"/>
  </cols>
  <sheetData>
    <row r="1" ht="16.15" customHeight="1" s="47">
      <c r="A1" s="59" t="inlineStr">
        <is>
          <t>Alongamento final dos cabos</t>
        </is>
      </c>
    </row>
    <row r="2" ht="15" customHeight="1" s="47">
      <c r="A2" s="49" t="inlineStr">
        <is>
          <t>Protensão simultânea pelas duas extremidades até σp,j. Δl por extremidade = ∫σp(s)/Ep ds ao longo do cabo (x de 0 a L), com σp(s) do atrito antes da cravação.</t>
        </is>
      </c>
    </row>
    <row r="3" ht="15" customHeight="1" s="47">
      <c r="A3" s="72" t="inlineStr">
        <is>
          <t>Grandeza</t>
        </is>
      </c>
      <c r="B3" s="72" t="inlineStr">
        <is>
          <t>Valor</t>
        </is>
      </c>
      <c r="C3" s="72" t="inlineStr">
        <is>
          <t>Unid.</t>
        </is>
      </c>
    </row>
    <row r="4" ht="15" customHeight="1" s="47">
      <c r="A4" s="54" t="inlineStr">
        <is>
          <t>Δl por extremidade (teórico, pré-cravação)</t>
        </is>
      </c>
      <c r="B4" s="78">
        <f>SUMPRODUCT((Tracado_Perdas!M9:M28+Tracado_Perdas!M8:M27)/2,Tracado_Perdas!K9:K28)/Dados!$C$65*1000</f>
        <v/>
      </c>
      <c r="C4" s="54" t="inlineStr">
        <is>
          <t>mm</t>
        </is>
      </c>
    </row>
    <row r="5" ht="15" customHeight="1" s="47">
      <c r="A5" s="54" t="inlineStr">
        <is>
          <t>Δl total do cabo (2 extremidades)</t>
        </is>
      </c>
      <c r="B5" s="78">
        <f>2*B4</f>
        <v/>
      </c>
      <c r="C5" s="54" t="inlineStr">
        <is>
          <t>mm</t>
        </is>
      </c>
    </row>
    <row r="6" ht="15" customHeight="1" s="47">
      <c r="A6" s="54" t="inlineStr">
        <is>
          <t>Tolerância ±5 %  (mín.)</t>
        </is>
      </c>
      <c r="B6" s="78">
        <f>0.95*B4</f>
        <v/>
      </c>
      <c r="C6" s="54" t="inlineStr">
        <is>
          <t>mm</t>
        </is>
      </c>
    </row>
    <row r="7" ht="15" customHeight="1" s="47">
      <c r="A7" s="54" t="inlineStr">
        <is>
          <t>Tolerância ±5 %  (máx.)</t>
        </is>
      </c>
      <c r="B7" s="78">
        <f>1.05*B4</f>
        <v/>
      </c>
      <c r="C7" s="54" t="inlineStr">
        <is>
          <t>mm</t>
        </is>
      </c>
    </row>
    <row r="8" ht="15" customHeight="1" s="47">
      <c r="A8" s="54" t="inlineStr">
        <is>
          <t>Cravação das cunhas (por extremidade)</t>
        </is>
      </c>
      <c r="B8" s="78">
        <f>Dados!$C$72*1000</f>
        <v/>
      </c>
      <c r="C8" s="54" t="inlineStr">
        <is>
          <t>mm</t>
        </is>
      </c>
    </row>
    <row r="9" ht="15" customHeight="1" s="47">
      <c r="A9" s="54" t="inlineStr">
        <is>
          <t>Alongamento líquido por extremidade após cravação</t>
        </is>
      </c>
      <c r="B9" s="78">
        <f>B4-B8</f>
        <v/>
      </c>
      <c r="C9" s="54" t="inlineStr">
        <is>
          <t>mm</t>
        </is>
      </c>
    </row>
    <row r="10" ht="15" customHeight="1" s="47">
      <c r="A10" s="54" t="inlineStr">
        <is>
          <t>Comprimento do cabo (arco, total)</t>
        </is>
      </c>
      <c r="B10" s="78">
        <f>Tracado_Perdas!L48</f>
        <v/>
      </c>
      <c r="C10" s="54" t="inlineStr">
        <is>
          <t>m</t>
        </is>
      </c>
    </row>
    <row r="11" ht="15" customHeight="1" s="47">
      <c r="A11" s="54" t="inlineStr">
        <is>
          <t>Ângulo total desviado Σα</t>
        </is>
      </c>
      <c r="B11" s="78">
        <f>Tracado_Perdas!J48</f>
        <v/>
      </c>
      <c r="C11" s="54" t="inlineStr">
        <is>
          <t>rad</t>
        </is>
      </c>
    </row>
    <row r="12" ht="15" customHeight="1" s="47">
      <c r="A12" s="54" t="inlineStr">
        <is>
          <t>Perda por atrito até o meio do cabo (apoio B)</t>
        </is>
      </c>
      <c r="B12" s="78">
        <f>1-Tracado_Perdas!M28/Dados!$C$67</f>
        <v/>
      </c>
      <c r="C12" s="54" t="n"/>
    </row>
    <row r="13" ht="15" customHeight="1" s="47">
      <c r="A13" s="54" t="inlineStr">
        <is>
          <t>Alcance da cravação xa</t>
        </is>
      </c>
      <c r="B13" s="78">
        <f>Dados!$C$81</f>
        <v/>
      </c>
      <c r="C13" s="54" t="inlineStr">
        <is>
          <t>m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R4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46" min="1" max="4"/>
    <col width="16" customWidth="1" style="46" min="5" max="5"/>
    <col width="11" customWidth="1" style="46" min="6" max="10"/>
    <col width="12" customWidth="1" style="46" min="11" max="11"/>
    <col width="11" customWidth="1" style="46" min="12" max="13"/>
    <col width="12" customWidth="1" style="46" min="14" max="14"/>
    <col width="11" customWidth="1" style="46" min="15" max="16"/>
    <col width="12" customWidth="1" style="46" min="17" max="17"/>
    <col width="14" customWidth="1" style="46" min="18" max="18"/>
  </cols>
  <sheetData>
    <row r="1" ht="16.15" customHeight="1" s="47">
      <c r="A1" s="59" t="inlineStr">
        <is>
          <t>ELS-DEF - flecha da viga protendida (seção não fissurada, Ecs·Ic)</t>
        </is>
      </c>
    </row>
    <row r="2" ht="15" customHeight="1" s="47">
      <c r="A2" s="49" t="inlineStr">
        <is>
          <t>y"=-M/EI integrado duas vezes; y(0)=y(L)=0. Combinação quase permanente: Mg + ψ2·Mq + efeito da protensão P∞. Deslocamento positivo = para baixo. Limite visual: L/250.</t>
        </is>
      </c>
    </row>
    <row r="3" ht="15" customHeight="1" s="47">
      <c r="M3" s="46" t="inlineStr">
        <is>
          <t>máx |δ_g|</t>
        </is>
      </c>
      <c r="N3" s="69">
        <f>MAX(ABS(MIN(K8:K28)),MAX(K8:K28))</f>
        <v/>
      </c>
      <c r="P3" s="46" t="inlineStr">
        <is>
          <t>δ_qp,∞ (mín.)</t>
        </is>
      </c>
      <c r="Q3" s="69">
        <f>MIN(R8:R28)</f>
        <v/>
      </c>
    </row>
    <row r="4" ht="15" customHeight="1" s="47">
      <c r="M4" s="46" t="inlineStr">
        <is>
          <t>máx |δ_P|</t>
        </is>
      </c>
      <c r="N4" s="69">
        <f>MAX(ABS(MIN(N8:N28)),MAX(N8:N28))</f>
        <v/>
      </c>
      <c r="P4" s="46" t="inlineStr">
        <is>
          <t>Limite L/250 [mm]</t>
        </is>
      </c>
      <c r="Q4" s="69">
        <f>Dados!$C$5*1000/250</f>
        <v/>
      </c>
    </row>
    <row r="5" ht="15" customHeight="1" s="47">
      <c r="M5" s="46" t="inlineStr">
        <is>
          <t>δ_qp (mín.)</t>
        </is>
      </c>
      <c r="N5" s="69">
        <f>MIN(Q8:Q28)</f>
        <v/>
      </c>
      <c r="P5" s="46" t="inlineStr">
        <is>
          <t>f1 (modo antissimétrico) [Hz]</t>
        </is>
      </c>
      <c r="Q5" s="69">
        <f>PI()/(2*Dados!$C$5^2)*SQRT(Dados!$C$20*1000000*Dados!$C$9/(Dados!$C$32/9.81*1000))</f>
        <v/>
      </c>
    </row>
    <row r="6" ht="31.5" customHeight="1" s="47">
      <c r="A6" s="60" t="inlineStr">
        <is>
          <t>x</t>
        </is>
      </c>
      <c r="B6" s="60" t="inlineStr">
        <is>
          <t>Mg</t>
        </is>
      </c>
      <c r="C6" s="60" t="inlineStr">
        <is>
          <t>ψ2·Mq (ambos vãos)</t>
        </is>
      </c>
      <c r="D6" s="60" t="inlineStr">
        <is>
          <t>M_P,∞</t>
        </is>
      </c>
      <c r="E6" s="60" t="inlineStr">
        <is>
          <t>M_qp líquido = Mg+ψ2Mq+M_P</t>
        </is>
      </c>
      <c r="F6" s="60" t="inlineStr">
        <is>
          <t>κ_g</t>
        </is>
      </c>
      <c r="G6" s="60" t="inlineStr">
        <is>
          <t>κ_P</t>
        </is>
      </c>
      <c r="H6" s="60" t="inlineStr">
        <is>
          <t>κ_qp</t>
        </is>
      </c>
      <c r="I6" s="60" t="inlineStr">
        <is>
          <t>θ_g</t>
        </is>
      </c>
      <c r="J6" s="60" t="inlineStr">
        <is>
          <t>y_g (bruto)</t>
        </is>
      </c>
      <c r="K6" s="60" t="inlineStr">
        <is>
          <t>δ_g (+ para baixo)</t>
        </is>
      </c>
      <c r="L6" s="60" t="inlineStr">
        <is>
          <t>θ_P</t>
        </is>
      </c>
      <c r="M6" s="60" t="inlineStr">
        <is>
          <t>y_P (bruto)</t>
        </is>
      </c>
      <c r="N6" s="60" t="inlineStr">
        <is>
          <t>δ_P (+ para baixo)</t>
        </is>
      </c>
      <c r="O6" s="60" t="inlineStr">
        <is>
          <t>θ_qp</t>
        </is>
      </c>
      <c r="P6" s="60" t="inlineStr">
        <is>
          <t>y_qp (bruto)</t>
        </is>
      </c>
      <c r="Q6" s="60" t="inlineStr">
        <is>
          <t>δ_qp (+ para baixo)</t>
        </is>
      </c>
      <c r="R6" s="60" t="inlineStr">
        <is>
          <t>δ_qp,∞ = δ_qp·(1+φ)</t>
        </is>
      </c>
    </row>
    <row r="7" ht="15" customHeight="1" s="47">
      <c r="A7" s="61" t="inlineStr">
        <is>
          <t>m</t>
        </is>
      </c>
      <c r="B7" s="61" t="inlineStr">
        <is>
          <t>kN·m</t>
        </is>
      </c>
      <c r="C7" s="61" t="inlineStr">
        <is>
          <t>kN·m</t>
        </is>
      </c>
      <c r="D7" s="61" t="inlineStr">
        <is>
          <t>kN·m</t>
        </is>
      </c>
      <c r="E7" s="61" t="inlineStr">
        <is>
          <t>kN·m</t>
        </is>
      </c>
      <c r="F7" s="61" t="inlineStr">
        <is>
          <t>1/m</t>
        </is>
      </c>
      <c r="G7" s="61" t="inlineStr">
        <is>
          <t>1/m</t>
        </is>
      </c>
      <c r="H7" s="61" t="inlineStr">
        <is>
          <t>1/m</t>
        </is>
      </c>
      <c r="I7" s="61" t="inlineStr">
        <is>
          <t>rad</t>
        </is>
      </c>
      <c r="J7" s="61" t="inlineStr">
        <is>
          <t>m</t>
        </is>
      </c>
      <c r="K7" s="61" t="inlineStr">
        <is>
          <t>mm</t>
        </is>
      </c>
      <c r="L7" s="61" t="inlineStr">
        <is>
          <t>rad</t>
        </is>
      </c>
      <c r="M7" s="61" t="inlineStr">
        <is>
          <t>m</t>
        </is>
      </c>
      <c r="N7" s="61" t="inlineStr">
        <is>
          <t>mm</t>
        </is>
      </c>
      <c r="O7" s="61" t="inlineStr">
        <is>
          <t>rad</t>
        </is>
      </c>
      <c r="P7" s="61" t="inlineStr">
        <is>
          <t>m</t>
        </is>
      </c>
      <c r="Q7" s="61" t="inlineStr">
        <is>
          <t>mm</t>
        </is>
      </c>
      <c r="R7" s="61" t="inlineStr">
        <is>
          <t>mm</t>
        </is>
      </c>
    </row>
    <row r="8" ht="15" customHeight="1" s="47">
      <c r="A8" s="63">
        <f>Tracado_Perdas!B8</f>
        <v/>
      </c>
      <c r="B8" s="63">
        <f>Esforcos!E8</f>
        <v/>
      </c>
      <c r="C8" s="63">
        <f>Dados!$C$35*(3*Dados!$C$33*Dados!$C$5*Esforcos!C8/8-Dados!$C$33*Esforcos!C8^2/2)</f>
        <v/>
      </c>
      <c r="D8" s="63">
        <f>Tensoes!F8</f>
        <v/>
      </c>
      <c r="E8" s="63">
        <f>B8+C8+D8</f>
        <v/>
      </c>
      <c r="F8" s="79">
        <f>-B8/(Dados!$C$20*1000*Dados!$C$9)</f>
        <v/>
      </c>
      <c r="G8" s="79">
        <f>-D8/(Dados!$C$20*1000*Dados!$C$9)</f>
        <v/>
      </c>
      <c r="H8" s="79">
        <f>-E8/(Dados!$C$20*1000*Dados!$C$9)</f>
        <v/>
      </c>
      <c r="I8" s="80" t="n">
        <v>0</v>
      </c>
      <c r="J8" s="79" t="n">
        <v>0</v>
      </c>
      <c r="K8" s="66">
        <f>(J8-J$28*A8/Dados!$C$5)*1000</f>
        <v/>
      </c>
      <c r="L8" s="80" t="n">
        <v>0</v>
      </c>
      <c r="M8" s="79" t="n">
        <v>0</v>
      </c>
      <c r="N8" s="66">
        <f>(M8-M$28*A8/Dados!$C$5)*1000</f>
        <v/>
      </c>
      <c r="O8" s="80" t="n">
        <v>0</v>
      </c>
      <c r="P8" s="79" t="n">
        <v>0</v>
      </c>
      <c r="Q8" s="66">
        <f>(P8-P$28*A8/Dados!$C$5)*1000</f>
        <v/>
      </c>
      <c r="R8" s="66">
        <f>Q8*(1+Dados!$C$73)</f>
        <v/>
      </c>
    </row>
    <row r="9" ht="15" customHeight="1" s="47">
      <c r="A9" s="63">
        <f>Tracado_Perdas!B9</f>
        <v/>
      </c>
      <c r="B9" s="63">
        <f>Esforcos!E9</f>
        <v/>
      </c>
      <c r="C9" s="63">
        <f>Dados!$C$35*(3*Dados!$C$33*Dados!$C$5*Esforcos!C9/8-Dados!$C$33*Esforcos!C9^2/2)</f>
        <v/>
      </c>
      <c r="D9" s="63">
        <f>Tensoes!F9</f>
        <v/>
      </c>
      <c r="E9" s="63">
        <f>B9+C9+D9</f>
        <v/>
      </c>
      <c r="F9" s="79">
        <f>-B9/(Dados!$C$20*1000*Dados!$C$9)</f>
        <v/>
      </c>
      <c r="G9" s="79">
        <f>-D9/(Dados!$C$20*1000*Dados!$C$9)</f>
        <v/>
      </c>
      <c r="H9" s="79">
        <f>-E9/(Dados!$C$20*1000*Dados!$C$9)</f>
        <v/>
      </c>
      <c r="I9" s="80">
        <f>I8+0.5*(F9+F8)*(A9-A8)</f>
        <v/>
      </c>
      <c r="J9" s="79">
        <f>J8+0.5*(I9+I8)*(A9-A8)</f>
        <v/>
      </c>
      <c r="K9" s="66">
        <f>(J9-J$28*A9/Dados!$C$5)*1000</f>
        <v/>
      </c>
      <c r="L9" s="80">
        <f>L8+0.5*(G9+G8)*(A9-A8)</f>
        <v/>
      </c>
      <c r="M9" s="79">
        <f>M8+0.5*(L9+L8)*(A9-A8)</f>
        <v/>
      </c>
      <c r="N9" s="66">
        <f>(M9-M$28*A9/Dados!$C$5)*1000</f>
        <v/>
      </c>
      <c r="O9" s="80">
        <f>O8+0.5*(H9+H8)*(A9-A8)</f>
        <v/>
      </c>
      <c r="P9" s="79">
        <f>P8+0.5*(O9+O8)*(A9-A8)</f>
        <v/>
      </c>
      <c r="Q9" s="66">
        <f>(P9-P$28*A9/Dados!$C$5)*1000</f>
        <v/>
      </c>
      <c r="R9" s="66">
        <f>Q9*(1+Dados!$C$73)</f>
        <v/>
      </c>
    </row>
    <row r="10" ht="15" customHeight="1" s="47">
      <c r="A10" s="63">
        <f>Tracado_Perdas!B10</f>
        <v/>
      </c>
      <c r="B10" s="63">
        <f>Esforcos!E10</f>
        <v/>
      </c>
      <c r="C10" s="63">
        <f>Dados!$C$35*(3*Dados!$C$33*Dados!$C$5*Esforcos!C10/8-Dados!$C$33*Esforcos!C10^2/2)</f>
        <v/>
      </c>
      <c r="D10" s="63">
        <f>Tensoes!F10</f>
        <v/>
      </c>
      <c r="E10" s="63">
        <f>B10+C10+D10</f>
        <v/>
      </c>
      <c r="F10" s="79">
        <f>-B10/(Dados!$C$20*1000*Dados!$C$9)</f>
        <v/>
      </c>
      <c r="G10" s="79">
        <f>-D10/(Dados!$C$20*1000*Dados!$C$9)</f>
        <v/>
      </c>
      <c r="H10" s="79">
        <f>-E10/(Dados!$C$20*1000*Dados!$C$9)</f>
        <v/>
      </c>
      <c r="I10" s="80">
        <f>I9+0.5*(F10+F9)*(A10-A9)</f>
        <v/>
      </c>
      <c r="J10" s="79">
        <f>J9+0.5*(I10+I9)*(A10-A9)</f>
        <v/>
      </c>
      <c r="K10" s="66">
        <f>(J10-J$28*A10/Dados!$C$5)*1000</f>
        <v/>
      </c>
      <c r="L10" s="80">
        <f>L9+0.5*(G10+G9)*(A10-A9)</f>
        <v/>
      </c>
      <c r="M10" s="79">
        <f>M9+0.5*(L10+L9)*(A10-A9)</f>
        <v/>
      </c>
      <c r="N10" s="66">
        <f>(M10-M$28*A10/Dados!$C$5)*1000</f>
        <v/>
      </c>
      <c r="O10" s="80">
        <f>O9+0.5*(H10+H9)*(A10-A9)</f>
        <v/>
      </c>
      <c r="P10" s="79">
        <f>P9+0.5*(O10+O9)*(A10-A9)</f>
        <v/>
      </c>
      <c r="Q10" s="66">
        <f>(P10-P$28*A10/Dados!$C$5)*1000</f>
        <v/>
      </c>
      <c r="R10" s="66">
        <f>Q10*(1+Dados!$C$73)</f>
        <v/>
      </c>
    </row>
    <row r="11" ht="15" customHeight="1" s="47">
      <c r="A11" s="63">
        <f>Tracado_Perdas!B11</f>
        <v/>
      </c>
      <c r="B11" s="63">
        <f>Esforcos!E11</f>
        <v/>
      </c>
      <c r="C11" s="63">
        <f>Dados!$C$35*(3*Dados!$C$33*Dados!$C$5*Esforcos!C11/8-Dados!$C$33*Esforcos!C11^2/2)</f>
        <v/>
      </c>
      <c r="D11" s="63">
        <f>Tensoes!F11</f>
        <v/>
      </c>
      <c r="E11" s="63">
        <f>B11+C11+D11</f>
        <v/>
      </c>
      <c r="F11" s="79">
        <f>-B11/(Dados!$C$20*1000*Dados!$C$9)</f>
        <v/>
      </c>
      <c r="G11" s="79">
        <f>-D11/(Dados!$C$20*1000*Dados!$C$9)</f>
        <v/>
      </c>
      <c r="H11" s="79">
        <f>-E11/(Dados!$C$20*1000*Dados!$C$9)</f>
        <v/>
      </c>
      <c r="I11" s="80">
        <f>I10+0.5*(F11+F10)*(A11-A10)</f>
        <v/>
      </c>
      <c r="J11" s="79">
        <f>J10+0.5*(I11+I10)*(A11-A10)</f>
        <v/>
      </c>
      <c r="K11" s="66">
        <f>(J11-J$28*A11/Dados!$C$5)*1000</f>
        <v/>
      </c>
      <c r="L11" s="80">
        <f>L10+0.5*(G11+G10)*(A11-A10)</f>
        <v/>
      </c>
      <c r="M11" s="79">
        <f>M10+0.5*(L11+L10)*(A11-A10)</f>
        <v/>
      </c>
      <c r="N11" s="66">
        <f>(M11-M$28*A11/Dados!$C$5)*1000</f>
        <v/>
      </c>
      <c r="O11" s="80">
        <f>O10+0.5*(H11+H10)*(A11-A10)</f>
        <v/>
      </c>
      <c r="P11" s="79">
        <f>P10+0.5*(O11+O10)*(A11-A10)</f>
        <v/>
      </c>
      <c r="Q11" s="66">
        <f>(P11-P$28*A11/Dados!$C$5)*1000</f>
        <v/>
      </c>
      <c r="R11" s="66">
        <f>Q11*(1+Dados!$C$73)</f>
        <v/>
      </c>
    </row>
    <row r="12" ht="15" customHeight="1" s="47">
      <c r="A12" s="63">
        <f>Tracado_Perdas!B12</f>
        <v/>
      </c>
      <c r="B12" s="63">
        <f>Esforcos!E12</f>
        <v/>
      </c>
      <c r="C12" s="63">
        <f>Dados!$C$35*(3*Dados!$C$33*Dados!$C$5*Esforcos!C12/8-Dados!$C$33*Esforcos!C12^2/2)</f>
        <v/>
      </c>
      <c r="D12" s="63">
        <f>Tensoes!F12</f>
        <v/>
      </c>
      <c r="E12" s="63">
        <f>B12+C12+D12</f>
        <v/>
      </c>
      <c r="F12" s="79">
        <f>-B12/(Dados!$C$20*1000*Dados!$C$9)</f>
        <v/>
      </c>
      <c r="G12" s="79">
        <f>-D12/(Dados!$C$20*1000*Dados!$C$9)</f>
        <v/>
      </c>
      <c r="H12" s="79">
        <f>-E12/(Dados!$C$20*1000*Dados!$C$9)</f>
        <v/>
      </c>
      <c r="I12" s="80">
        <f>I11+0.5*(F12+F11)*(A12-A11)</f>
        <v/>
      </c>
      <c r="J12" s="79">
        <f>J11+0.5*(I12+I11)*(A12-A11)</f>
        <v/>
      </c>
      <c r="K12" s="66">
        <f>(J12-J$28*A12/Dados!$C$5)*1000</f>
        <v/>
      </c>
      <c r="L12" s="80">
        <f>L11+0.5*(G12+G11)*(A12-A11)</f>
        <v/>
      </c>
      <c r="M12" s="79">
        <f>M11+0.5*(L12+L11)*(A12-A11)</f>
        <v/>
      </c>
      <c r="N12" s="66">
        <f>(M12-M$28*A12/Dados!$C$5)*1000</f>
        <v/>
      </c>
      <c r="O12" s="80">
        <f>O11+0.5*(H12+H11)*(A12-A11)</f>
        <v/>
      </c>
      <c r="P12" s="79">
        <f>P11+0.5*(O12+O11)*(A12-A11)</f>
        <v/>
      </c>
      <c r="Q12" s="66">
        <f>(P12-P$28*A12/Dados!$C$5)*1000</f>
        <v/>
      </c>
      <c r="R12" s="66">
        <f>Q12*(1+Dados!$C$73)</f>
        <v/>
      </c>
    </row>
    <row r="13" ht="15" customHeight="1" s="47">
      <c r="A13" s="63">
        <f>Tracado_Perdas!B13</f>
        <v/>
      </c>
      <c r="B13" s="63">
        <f>Esforcos!E13</f>
        <v/>
      </c>
      <c r="C13" s="63">
        <f>Dados!$C$35*(3*Dados!$C$33*Dados!$C$5*Esforcos!C13/8-Dados!$C$33*Esforcos!C13^2/2)</f>
        <v/>
      </c>
      <c r="D13" s="63">
        <f>Tensoes!F13</f>
        <v/>
      </c>
      <c r="E13" s="63">
        <f>B13+C13+D13</f>
        <v/>
      </c>
      <c r="F13" s="79">
        <f>-B13/(Dados!$C$20*1000*Dados!$C$9)</f>
        <v/>
      </c>
      <c r="G13" s="79">
        <f>-D13/(Dados!$C$20*1000*Dados!$C$9)</f>
        <v/>
      </c>
      <c r="H13" s="79">
        <f>-E13/(Dados!$C$20*1000*Dados!$C$9)</f>
        <v/>
      </c>
      <c r="I13" s="80">
        <f>I12+0.5*(F13+F12)*(A13-A12)</f>
        <v/>
      </c>
      <c r="J13" s="79">
        <f>J12+0.5*(I13+I12)*(A13-A12)</f>
        <v/>
      </c>
      <c r="K13" s="66">
        <f>(J13-J$28*A13/Dados!$C$5)*1000</f>
        <v/>
      </c>
      <c r="L13" s="80">
        <f>L12+0.5*(G13+G12)*(A13-A12)</f>
        <v/>
      </c>
      <c r="M13" s="79">
        <f>M12+0.5*(L13+L12)*(A13-A12)</f>
        <v/>
      </c>
      <c r="N13" s="66">
        <f>(M13-M$28*A13/Dados!$C$5)*1000</f>
        <v/>
      </c>
      <c r="O13" s="80">
        <f>O12+0.5*(H13+H12)*(A13-A12)</f>
        <v/>
      </c>
      <c r="P13" s="79">
        <f>P12+0.5*(O13+O12)*(A13-A12)</f>
        <v/>
      </c>
      <c r="Q13" s="66">
        <f>(P13-P$28*A13/Dados!$C$5)*1000</f>
        <v/>
      </c>
      <c r="R13" s="66">
        <f>Q13*(1+Dados!$C$73)</f>
        <v/>
      </c>
    </row>
    <row r="14" ht="15" customHeight="1" s="47">
      <c r="A14" s="63">
        <f>Tracado_Perdas!B14</f>
        <v/>
      </c>
      <c r="B14" s="63">
        <f>Esforcos!E14</f>
        <v/>
      </c>
      <c r="C14" s="63">
        <f>Dados!$C$35*(3*Dados!$C$33*Dados!$C$5*Esforcos!C14/8-Dados!$C$33*Esforcos!C14^2/2)</f>
        <v/>
      </c>
      <c r="D14" s="63">
        <f>Tensoes!F14</f>
        <v/>
      </c>
      <c r="E14" s="63">
        <f>B14+C14+D14</f>
        <v/>
      </c>
      <c r="F14" s="79">
        <f>-B14/(Dados!$C$20*1000*Dados!$C$9)</f>
        <v/>
      </c>
      <c r="G14" s="79">
        <f>-D14/(Dados!$C$20*1000*Dados!$C$9)</f>
        <v/>
      </c>
      <c r="H14" s="79">
        <f>-E14/(Dados!$C$20*1000*Dados!$C$9)</f>
        <v/>
      </c>
      <c r="I14" s="80">
        <f>I13+0.5*(F14+F13)*(A14-A13)</f>
        <v/>
      </c>
      <c r="J14" s="79">
        <f>J13+0.5*(I14+I13)*(A14-A13)</f>
        <v/>
      </c>
      <c r="K14" s="66">
        <f>(J14-J$28*A14/Dados!$C$5)*1000</f>
        <v/>
      </c>
      <c r="L14" s="80">
        <f>L13+0.5*(G14+G13)*(A14-A13)</f>
        <v/>
      </c>
      <c r="M14" s="79">
        <f>M13+0.5*(L14+L13)*(A14-A13)</f>
        <v/>
      </c>
      <c r="N14" s="66">
        <f>(M14-M$28*A14/Dados!$C$5)*1000</f>
        <v/>
      </c>
      <c r="O14" s="80">
        <f>O13+0.5*(H14+H13)*(A14-A13)</f>
        <v/>
      </c>
      <c r="P14" s="79">
        <f>P13+0.5*(O14+O13)*(A14-A13)</f>
        <v/>
      </c>
      <c r="Q14" s="66">
        <f>(P14-P$28*A14/Dados!$C$5)*1000</f>
        <v/>
      </c>
      <c r="R14" s="66">
        <f>Q14*(1+Dados!$C$73)</f>
        <v/>
      </c>
    </row>
    <row r="15" ht="15" customHeight="1" s="47">
      <c r="A15" s="63">
        <f>Tracado_Perdas!B15</f>
        <v/>
      </c>
      <c r="B15" s="63">
        <f>Esforcos!E15</f>
        <v/>
      </c>
      <c r="C15" s="63">
        <f>Dados!$C$35*(3*Dados!$C$33*Dados!$C$5*Esforcos!C15/8-Dados!$C$33*Esforcos!C15^2/2)</f>
        <v/>
      </c>
      <c r="D15" s="63">
        <f>Tensoes!F15</f>
        <v/>
      </c>
      <c r="E15" s="63">
        <f>B15+C15+D15</f>
        <v/>
      </c>
      <c r="F15" s="79">
        <f>-B15/(Dados!$C$20*1000*Dados!$C$9)</f>
        <v/>
      </c>
      <c r="G15" s="79">
        <f>-D15/(Dados!$C$20*1000*Dados!$C$9)</f>
        <v/>
      </c>
      <c r="H15" s="79">
        <f>-E15/(Dados!$C$20*1000*Dados!$C$9)</f>
        <v/>
      </c>
      <c r="I15" s="80">
        <f>I14+0.5*(F15+F14)*(A15-A14)</f>
        <v/>
      </c>
      <c r="J15" s="79">
        <f>J14+0.5*(I15+I14)*(A15-A14)</f>
        <v/>
      </c>
      <c r="K15" s="66">
        <f>(J15-J$28*A15/Dados!$C$5)*1000</f>
        <v/>
      </c>
      <c r="L15" s="80">
        <f>L14+0.5*(G15+G14)*(A15-A14)</f>
        <v/>
      </c>
      <c r="M15" s="79">
        <f>M14+0.5*(L15+L14)*(A15-A14)</f>
        <v/>
      </c>
      <c r="N15" s="66">
        <f>(M15-M$28*A15/Dados!$C$5)*1000</f>
        <v/>
      </c>
      <c r="O15" s="80">
        <f>O14+0.5*(H15+H14)*(A15-A14)</f>
        <v/>
      </c>
      <c r="P15" s="79">
        <f>P14+0.5*(O15+O14)*(A15-A14)</f>
        <v/>
      </c>
      <c r="Q15" s="66">
        <f>(P15-P$28*A15/Dados!$C$5)*1000</f>
        <v/>
      </c>
      <c r="R15" s="66">
        <f>Q15*(1+Dados!$C$73)</f>
        <v/>
      </c>
    </row>
    <row r="16" ht="15" customHeight="1" s="47">
      <c r="A16" s="63">
        <f>Tracado_Perdas!B16</f>
        <v/>
      </c>
      <c r="B16" s="63">
        <f>Esforcos!E16</f>
        <v/>
      </c>
      <c r="C16" s="63">
        <f>Dados!$C$35*(3*Dados!$C$33*Dados!$C$5*Esforcos!C16/8-Dados!$C$33*Esforcos!C16^2/2)</f>
        <v/>
      </c>
      <c r="D16" s="63">
        <f>Tensoes!F16</f>
        <v/>
      </c>
      <c r="E16" s="63">
        <f>B16+C16+D16</f>
        <v/>
      </c>
      <c r="F16" s="79">
        <f>-B16/(Dados!$C$20*1000*Dados!$C$9)</f>
        <v/>
      </c>
      <c r="G16" s="79">
        <f>-D16/(Dados!$C$20*1000*Dados!$C$9)</f>
        <v/>
      </c>
      <c r="H16" s="79">
        <f>-E16/(Dados!$C$20*1000*Dados!$C$9)</f>
        <v/>
      </c>
      <c r="I16" s="80">
        <f>I15+0.5*(F16+F15)*(A16-A15)</f>
        <v/>
      </c>
      <c r="J16" s="79">
        <f>J15+0.5*(I16+I15)*(A16-A15)</f>
        <v/>
      </c>
      <c r="K16" s="66">
        <f>(J16-J$28*A16/Dados!$C$5)*1000</f>
        <v/>
      </c>
      <c r="L16" s="80">
        <f>L15+0.5*(G16+G15)*(A16-A15)</f>
        <v/>
      </c>
      <c r="M16" s="79">
        <f>M15+0.5*(L16+L15)*(A16-A15)</f>
        <v/>
      </c>
      <c r="N16" s="66">
        <f>(M16-M$28*A16/Dados!$C$5)*1000</f>
        <v/>
      </c>
      <c r="O16" s="80">
        <f>O15+0.5*(H16+H15)*(A16-A15)</f>
        <v/>
      </c>
      <c r="P16" s="79">
        <f>P15+0.5*(O16+O15)*(A16-A15)</f>
        <v/>
      </c>
      <c r="Q16" s="66">
        <f>(P16-P$28*A16/Dados!$C$5)*1000</f>
        <v/>
      </c>
      <c r="R16" s="66">
        <f>Q16*(1+Dados!$C$73)</f>
        <v/>
      </c>
    </row>
    <row r="17" ht="15" customHeight="1" s="47">
      <c r="A17" s="63">
        <f>Tracado_Perdas!B17</f>
        <v/>
      </c>
      <c r="B17" s="63">
        <f>Esforcos!E17</f>
        <v/>
      </c>
      <c r="C17" s="63">
        <f>Dados!$C$35*(3*Dados!$C$33*Dados!$C$5*Esforcos!C17/8-Dados!$C$33*Esforcos!C17^2/2)</f>
        <v/>
      </c>
      <c r="D17" s="63">
        <f>Tensoes!F17</f>
        <v/>
      </c>
      <c r="E17" s="63">
        <f>B17+C17+D17</f>
        <v/>
      </c>
      <c r="F17" s="79">
        <f>-B17/(Dados!$C$20*1000*Dados!$C$9)</f>
        <v/>
      </c>
      <c r="G17" s="79">
        <f>-D17/(Dados!$C$20*1000*Dados!$C$9)</f>
        <v/>
      </c>
      <c r="H17" s="79">
        <f>-E17/(Dados!$C$20*1000*Dados!$C$9)</f>
        <v/>
      </c>
      <c r="I17" s="80">
        <f>I16+0.5*(F17+F16)*(A17-A16)</f>
        <v/>
      </c>
      <c r="J17" s="79">
        <f>J16+0.5*(I17+I16)*(A17-A16)</f>
        <v/>
      </c>
      <c r="K17" s="66">
        <f>(J17-J$28*A17/Dados!$C$5)*1000</f>
        <v/>
      </c>
      <c r="L17" s="80">
        <f>L16+0.5*(G17+G16)*(A17-A16)</f>
        <v/>
      </c>
      <c r="M17" s="79">
        <f>M16+0.5*(L17+L16)*(A17-A16)</f>
        <v/>
      </c>
      <c r="N17" s="66">
        <f>(M17-M$28*A17/Dados!$C$5)*1000</f>
        <v/>
      </c>
      <c r="O17" s="80">
        <f>O16+0.5*(H17+H16)*(A17-A16)</f>
        <v/>
      </c>
      <c r="P17" s="79">
        <f>P16+0.5*(O17+O16)*(A17-A16)</f>
        <v/>
      </c>
      <c r="Q17" s="66">
        <f>(P17-P$28*A17/Dados!$C$5)*1000</f>
        <v/>
      </c>
      <c r="R17" s="66">
        <f>Q17*(1+Dados!$C$73)</f>
        <v/>
      </c>
    </row>
    <row r="18" ht="15" customHeight="1" s="47">
      <c r="A18" s="63">
        <f>Tracado_Perdas!B18</f>
        <v/>
      </c>
      <c r="B18" s="63">
        <f>Esforcos!E18</f>
        <v/>
      </c>
      <c r="C18" s="63">
        <f>Dados!$C$35*(3*Dados!$C$33*Dados!$C$5*Esforcos!C18/8-Dados!$C$33*Esforcos!C18^2/2)</f>
        <v/>
      </c>
      <c r="D18" s="63">
        <f>Tensoes!F18</f>
        <v/>
      </c>
      <c r="E18" s="63">
        <f>B18+C18+D18</f>
        <v/>
      </c>
      <c r="F18" s="79">
        <f>-B18/(Dados!$C$20*1000*Dados!$C$9)</f>
        <v/>
      </c>
      <c r="G18" s="79">
        <f>-D18/(Dados!$C$20*1000*Dados!$C$9)</f>
        <v/>
      </c>
      <c r="H18" s="79">
        <f>-E18/(Dados!$C$20*1000*Dados!$C$9)</f>
        <v/>
      </c>
      <c r="I18" s="80">
        <f>I17+0.5*(F18+F17)*(A18-A17)</f>
        <v/>
      </c>
      <c r="J18" s="79">
        <f>J17+0.5*(I18+I17)*(A18-A17)</f>
        <v/>
      </c>
      <c r="K18" s="66">
        <f>(J18-J$28*A18/Dados!$C$5)*1000</f>
        <v/>
      </c>
      <c r="L18" s="80">
        <f>L17+0.5*(G18+G17)*(A18-A17)</f>
        <v/>
      </c>
      <c r="M18" s="79">
        <f>M17+0.5*(L18+L17)*(A18-A17)</f>
        <v/>
      </c>
      <c r="N18" s="66">
        <f>(M18-M$28*A18/Dados!$C$5)*1000</f>
        <v/>
      </c>
      <c r="O18" s="80">
        <f>O17+0.5*(H18+H17)*(A18-A17)</f>
        <v/>
      </c>
      <c r="P18" s="79">
        <f>P17+0.5*(O18+O17)*(A18-A17)</f>
        <v/>
      </c>
      <c r="Q18" s="66">
        <f>(P18-P$28*A18/Dados!$C$5)*1000</f>
        <v/>
      </c>
      <c r="R18" s="66">
        <f>Q18*(1+Dados!$C$73)</f>
        <v/>
      </c>
    </row>
    <row r="19" ht="15" customHeight="1" s="47">
      <c r="A19" s="63">
        <f>Tracado_Perdas!B19</f>
        <v/>
      </c>
      <c r="B19" s="63">
        <f>Esforcos!E19</f>
        <v/>
      </c>
      <c r="C19" s="63">
        <f>Dados!$C$35*(3*Dados!$C$33*Dados!$C$5*Esforcos!C19/8-Dados!$C$33*Esforcos!C19^2/2)</f>
        <v/>
      </c>
      <c r="D19" s="63">
        <f>Tensoes!F19</f>
        <v/>
      </c>
      <c r="E19" s="63">
        <f>B19+C19+D19</f>
        <v/>
      </c>
      <c r="F19" s="79">
        <f>-B19/(Dados!$C$20*1000*Dados!$C$9)</f>
        <v/>
      </c>
      <c r="G19" s="79">
        <f>-D19/(Dados!$C$20*1000*Dados!$C$9)</f>
        <v/>
      </c>
      <c r="H19" s="79">
        <f>-E19/(Dados!$C$20*1000*Dados!$C$9)</f>
        <v/>
      </c>
      <c r="I19" s="80">
        <f>I18+0.5*(F19+F18)*(A19-A18)</f>
        <v/>
      </c>
      <c r="J19" s="79">
        <f>J18+0.5*(I19+I18)*(A19-A18)</f>
        <v/>
      </c>
      <c r="K19" s="66">
        <f>(J19-J$28*A19/Dados!$C$5)*1000</f>
        <v/>
      </c>
      <c r="L19" s="80">
        <f>L18+0.5*(G19+G18)*(A19-A18)</f>
        <v/>
      </c>
      <c r="M19" s="79">
        <f>M18+0.5*(L19+L18)*(A19-A18)</f>
        <v/>
      </c>
      <c r="N19" s="66">
        <f>(M19-M$28*A19/Dados!$C$5)*1000</f>
        <v/>
      </c>
      <c r="O19" s="80">
        <f>O18+0.5*(H19+H18)*(A19-A18)</f>
        <v/>
      </c>
      <c r="P19" s="79">
        <f>P18+0.5*(O19+O18)*(A19-A18)</f>
        <v/>
      </c>
      <c r="Q19" s="66">
        <f>(P19-P$28*A19/Dados!$C$5)*1000</f>
        <v/>
      </c>
      <c r="R19" s="66">
        <f>Q19*(1+Dados!$C$73)</f>
        <v/>
      </c>
    </row>
    <row r="20" ht="15" customHeight="1" s="47">
      <c r="A20" s="63">
        <f>Tracado_Perdas!B20</f>
        <v/>
      </c>
      <c r="B20" s="63">
        <f>Esforcos!E20</f>
        <v/>
      </c>
      <c r="C20" s="63">
        <f>Dados!$C$35*(3*Dados!$C$33*Dados!$C$5*Esforcos!C20/8-Dados!$C$33*Esforcos!C20^2/2)</f>
        <v/>
      </c>
      <c r="D20" s="63">
        <f>Tensoes!F20</f>
        <v/>
      </c>
      <c r="E20" s="63">
        <f>B20+C20+D20</f>
        <v/>
      </c>
      <c r="F20" s="79">
        <f>-B20/(Dados!$C$20*1000*Dados!$C$9)</f>
        <v/>
      </c>
      <c r="G20" s="79">
        <f>-D20/(Dados!$C$20*1000*Dados!$C$9)</f>
        <v/>
      </c>
      <c r="H20" s="79">
        <f>-E20/(Dados!$C$20*1000*Dados!$C$9)</f>
        <v/>
      </c>
      <c r="I20" s="80">
        <f>I19+0.5*(F20+F19)*(A20-A19)</f>
        <v/>
      </c>
      <c r="J20" s="79">
        <f>J19+0.5*(I20+I19)*(A20-A19)</f>
        <v/>
      </c>
      <c r="K20" s="66">
        <f>(J20-J$28*A20/Dados!$C$5)*1000</f>
        <v/>
      </c>
      <c r="L20" s="80">
        <f>L19+0.5*(G20+G19)*(A20-A19)</f>
        <v/>
      </c>
      <c r="M20" s="79">
        <f>M19+0.5*(L20+L19)*(A20-A19)</f>
        <v/>
      </c>
      <c r="N20" s="66">
        <f>(M20-M$28*A20/Dados!$C$5)*1000</f>
        <v/>
      </c>
      <c r="O20" s="80">
        <f>O19+0.5*(H20+H19)*(A20-A19)</f>
        <v/>
      </c>
      <c r="P20" s="79">
        <f>P19+0.5*(O20+O19)*(A20-A19)</f>
        <v/>
      </c>
      <c r="Q20" s="66">
        <f>(P20-P$28*A20/Dados!$C$5)*1000</f>
        <v/>
      </c>
      <c r="R20" s="66">
        <f>Q20*(1+Dados!$C$73)</f>
        <v/>
      </c>
    </row>
    <row r="21" ht="15" customHeight="1" s="47">
      <c r="A21" s="63">
        <f>Tracado_Perdas!B21</f>
        <v/>
      </c>
      <c r="B21" s="63">
        <f>Esforcos!E21</f>
        <v/>
      </c>
      <c r="C21" s="63">
        <f>Dados!$C$35*(3*Dados!$C$33*Dados!$C$5*Esforcos!C21/8-Dados!$C$33*Esforcos!C21^2/2)</f>
        <v/>
      </c>
      <c r="D21" s="63">
        <f>Tensoes!F21</f>
        <v/>
      </c>
      <c r="E21" s="63">
        <f>B21+C21+D21</f>
        <v/>
      </c>
      <c r="F21" s="79">
        <f>-B21/(Dados!$C$20*1000*Dados!$C$9)</f>
        <v/>
      </c>
      <c r="G21" s="79">
        <f>-D21/(Dados!$C$20*1000*Dados!$C$9)</f>
        <v/>
      </c>
      <c r="H21" s="79">
        <f>-E21/(Dados!$C$20*1000*Dados!$C$9)</f>
        <v/>
      </c>
      <c r="I21" s="80">
        <f>I20+0.5*(F21+F20)*(A21-A20)</f>
        <v/>
      </c>
      <c r="J21" s="79">
        <f>J20+0.5*(I21+I20)*(A21-A20)</f>
        <v/>
      </c>
      <c r="K21" s="66">
        <f>(J21-J$28*A21/Dados!$C$5)*1000</f>
        <v/>
      </c>
      <c r="L21" s="80">
        <f>L20+0.5*(G21+G20)*(A21-A20)</f>
        <v/>
      </c>
      <c r="M21" s="79">
        <f>M20+0.5*(L21+L20)*(A21-A20)</f>
        <v/>
      </c>
      <c r="N21" s="66">
        <f>(M21-M$28*A21/Dados!$C$5)*1000</f>
        <v/>
      </c>
      <c r="O21" s="80">
        <f>O20+0.5*(H21+H20)*(A21-A20)</f>
        <v/>
      </c>
      <c r="P21" s="79">
        <f>P20+0.5*(O21+O20)*(A21-A20)</f>
        <v/>
      </c>
      <c r="Q21" s="66">
        <f>(P21-P$28*A21/Dados!$C$5)*1000</f>
        <v/>
      </c>
      <c r="R21" s="66">
        <f>Q21*(1+Dados!$C$73)</f>
        <v/>
      </c>
    </row>
    <row r="22" ht="15" customHeight="1" s="47">
      <c r="A22" s="63">
        <f>Tracado_Perdas!B22</f>
        <v/>
      </c>
      <c r="B22" s="63">
        <f>Esforcos!E22</f>
        <v/>
      </c>
      <c r="C22" s="63">
        <f>Dados!$C$35*(3*Dados!$C$33*Dados!$C$5*Esforcos!C22/8-Dados!$C$33*Esforcos!C22^2/2)</f>
        <v/>
      </c>
      <c r="D22" s="63">
        <f>Tensoes!F22</f>
        <v/>
      </c>
      <c r="E22" s="63">
        <f>B22+C22+D22</f>
        <v/>
      </c>
      <c r="F22" s="79">
        <f>-B22/(Dados!$C$20*1000*Dados!$C$9)</f>
        <v/>
      </c>
      <c r="G22" s="79">
        <f>-D22/(Dados!$C$20*1000*Dados!$C$9)</f>
        <v/>
      </c>
      <c r="H22" s="79">
        <f>-E22/(Dados!$C$20*1000*Dados!$C$9)</f>
        <v/>
      </c>
      <c r="I22" s="80">
        <f>I21+0.5*(F22+F21)*(A22-A21)</f>
        <v/>
      </c>
      <c r="J22" s="79">
        <f>J21+0.5*(I22+I21)*(A22-A21)</f>
        <v/>
      </c>
      <c r="K22" s="66">
        <f>(J22-J$28*A22/Dados!$C$5)*1000</f>
        <v/>
      </c>
      <c r="L22" s="80">
        <f>L21+0.5*(G22+G21)*(A22-A21)</f>
        <v/>
      </c>
      <c r="M22" s="79">
        <f>M21+0.5*(L22+L21)*(A22-A21)</f>
        <v/>
      </c>
      <c r="N22" s="66">
        <f>(M22-M$28*A22/Dados!$C$5)*1000</f>
        <v/>
      </c>
      <c r="O22" s="80">
        <f>O21+0.5*(H22+H21)*(A22-A21)</f>
        <v/>
      </c>
      <c r="P22" s="79">
        <f>P21+0.5*(O22+O21)*(A22-A21)</f>
        <v/>
      </c>
      <c r="Q22" s="66">
        <f>(P22-P$28*A22/Dados!$C$5)*1000</f>
        <v/>
      </c>
      <c r="R22" s="66">
        <f>Q22*(1+Dados!$C$73)</f>
        <v/>
      </c>
    </row>
    <row r="23" ht="15" customHeight="1" s="47">
      <c r="A23" s="63">
        <f>Tracado_Perdas!B23</f>
        <v/>
      </c>
      <c r="B23" s="63">
        <f>Esforcos!E23</f>
        <v/>
      </c>
      <c r="C23" s="63">
        <f>Dados!$C$35*(3*Dados!$C$33*Dados!$C$5*Esforcos!C23/8-Dados!$C$33*Esforcos!C23^2/2)</f>
        <v/>
      </c>
      <c r="D23" s="63">
        <f>Tensoes!F23</f>
        <v/>
      </c>
      <c r="E23" s="63">
        <f>B23+C23+D23</f>
        <v/>
      </c>
      <c r="F23" s="79">
        <f>-B23/(Dados!$C$20*1000*Dados!$C$9)</f>
        <v/>
      </c>
      <c r="G23" s="79">
        <f>-D23/(Dados!$C$20*1000*Dados!$C$9)</f>
        <v/>
      </c>
      <c r="H23" s="79">
        <f>-E23/(Dados!$C$20*1000*Dados!$C$9)</f>
        <v/>
      </c>
      <c r="I23" s="80">
        <f>I22+0.5*(F23+F22)*(A23-A22)</f>
        <v/>
      </c>
      <c r="J23" s="79">
        <f>J22+0.5*(I23+I22)*(A23-A22)</f>
        <v/>
      </c>
      <c r="K23" s="66">
        <f>(J23-J$28*A23/Dados!$C$5)*1000</f>
        <v/>
      </c>
      <c r="L23" s="80">
        <f>L22+0.5*(G23+G22)*(A23-A22)</f>
        <v/>
      </c>
      <c r="M23" s="79">
        <f>M22+0.5*(L23+L22)*(A23-A22)</f>
        <v/>
      </c>
      <c r="N23" s="66">
        <f>(M23-M$28*A23/Dados!$C$5)*1000</f>
        <v/>
      </c>
      <c r="O23" s="80">
        <f>O22+0.5*(H23+H22)*(A23-A22)</f>
        <v/>
      </c>
      <c r="P23" s="79">
        <f>P22+0.5*(O23+O22)*(A23-A22)</f>
        <v/>
      </c>
      <c r="Q23" s="66">
        <f>(P23-P$28*A23/Dados!$C$5)*1000</f>
        <v/>
      </c>
      <c r="R23" s="66">
        <f>Q23*(1+Dados!$C$73)</f>
        <v/>
      </c>
    </row>
    <row r="24" ht="15" customHeight="1" s="47">
      <c r="A24" s="63">
        <f>Tracado_Perdas!B24</f>
        <v/>
      </c>
      <c r="B24" s="63">
        <f>Esforcos!E24</f>
        <v/>
      </c>
      <c r="C24" s="63">
        <f>Dados!$C$35*(3*Dados!$C$33*Dados!$C$5*Esforcos!C24/8-Dados!$C$33*Esforcos!C24^2/2)</f>
        <v/>
      </c>
      <c r="D24" s="63">
        <f>Tensoes!F24</f>
        <v/>
      </c>
      <c r="E24" s="63">
        <f>B24+C24+D24</f>
        <v/>
      </c>
      <c r="F24" s="79">
        <f>-B24/(Dados!$C$20*1000*Dados!$C$9)</f>
        <v/>
      </c>
      <c r="G24" s="79">
        <f>-D24/(Dados!$C$20*1000*Dados!$C$9)</f>
        <v/>
      </c>
      <c r="H24" s="79">
        <f>-E24/(Dados!$C$20*1000*Dados!$C$9)</f>
        <v/>
      </c>
      <c r="I24" s="80">
        <f>I23+0.5*(F24+F23)*(A24-A23)</f>
        <v/>
      </c>
      <c r="J24" s="79">
        <f>J23+0.5*(I24+I23)*(A24-A23)</f>
        <v/>
      </c>
      <c r="K24" s="66">
        <f>(J24-J$28*A24/Dados!$C$5)*1000</f>
        <v/>
      </c>
      <c r="L24" s="80">
        <f>L23+0.5*(G24+G23)*(A24-A23)</f>
        <v/>
      </c>
      <c r="M24" s="79">
        <f>M23+0.5*(L24+L23)*(A24-A23)</f>
        <v/>
      </c>
      <c r="N24" s="66">
        <f>(M24-M$28*A24/Dados!$C$5)*1000</f>
        <v/>
      </c>
      <c r="O24" s="80">
        <f>O23+0.5*(H24+H23)*(A24-A23)</f>
        <v/>
      </c>
      <c r="P24" s="79">
        <f>P23+0.5*(O24+O23)*(A24-A23)</f>
        <v/>
      </c>
      <c r="Q24" s="66">
        <f>(P24-P$28*A24/Dados!$C$5)*1000</f>
        <v/>
      </c>
      <c r="R24" s="66">
        <f>Q24*(1+Dados!$C$73)</f>
        <v/>
      </c>
    </row>
    <row r="25" ht="15" customHeight="1" s="47">
      <c r="A25" s="63">
        <f>Tracado_Perdas!B25</f>
        <v/>
      </c>
      <c r="B25" s="63">
        <f>Esforcos!E25</f>
        <v/>
      </c>
      <c r="C25" s="63">
        <f>Dados!$C$35*(3*Dados!$C$33*Dados!$C$5*Esforcos!C25/8-Dados!$C$33*Esforcos!C25^2/2)</f>
        <v/>
      </c>
      <c r="D25" s="63">
        <f>Tensoes!F25</f>
        <v/>
      </c>
      <c r="E25" s="63">
        <f>B25+C25+D25</f>
        <v/>
      </c>
      <c r="F25" s="79">
        <f>-B25/(Dados!$C$20*1000*Dados!$C$9)</f>
        <v/>
      </c>
      <c r="G25" s="79">
        <f>-D25/(Dados!$C$20*1000*Dados!$C$9)</f>
        <v/>
      </c>
      <c r="H25" s="79">
        <f>-E25/(Dados!$C$20*1000*Dados!$C$9)</f>
        <v/>
      </c>
      <c r="I25" s="80">
        <f>I24+0.5*(F25+F24)*(A25-A24)</f>
        <v/>
      </c>
      <c r="J25" s="79">
        <f>J24+0.5*(I25+I24)*(A25-A24)</f>
        <v/>
      </c>
      <c r="K25" s="66">
        <f>(J25-J$28*A25/Dados!$C$5)*1000</f>
        <v/>
      </c>
      <c r="L25" s="80">
        <f>L24+0.5*(G25+G24)*(A25-A24)</f>
        <v/>
      </c>
      <c r="M25" s="79">
        <f>M24+0.5*(L25+L24)*(A25-A24)</f>
        <v/>
      </c>
      <c r="N25" s="66">
        <f>(M25-M$28*A25/Dados!$C$5)*1000</f>
        <v/>
      </c>
      <c r="O25" s="80">
        <f>O24+0.5*(H25+H24)*(A25-A24)</f>
        <v/>
      </c>
      <c r="P25" s="79">
        <f>P24+0.5*(O25+O24)*(A25-A24)</f>
        <v/>
      </c>
      <c r="Q25" s="66">
        <f>(P25-P$28*A25/Dados!$C$5)*1000</f>
        <v/>
      </c>
      <c r="R25" s="66">
        <f>Q25*(1+Dados!$C$73)</f>
        <v/>
      </c>
    </row>
    <row r="26" ht="15" customHeight="1" s="47">
      <c r="A26" s="63">
        <f>Tracado_Perdas!B26</f>
        <v/>
      </c>
      <c r="B26" s="63">
        <f>Esforcos!E26</f>
        <v/>
      </c>
      <c r="C26" s="63">
        <f>Dados!$C$35*(3*Dados!$C$33*Dados!$C$5*Esforcos!C26/8-Dados!$C$33*Esforcos!C26^2/2)</f>
        <v/>
      </c>
      <c r="D26" s="63">
        <f>Tensoes!F26</f>
        <v/>
      </c>
      <c r="E26" s="63">
        <f>B26+C26+D26</f>
        <v/>
      </c>
      <c r="F26" s="79">
        <f>-B26/(Dados!$C$20*1000*Dados!$C$9)</f>
        <v/>
      </c>
      <c r="G26" s="79">
        <f>-D26/(Dados!$C$20*1000*Dados!$C$9)</f>
        <v/>
      </c>
      <c r="H26" s="79">
        <f>-E26/(Dados!$C$20*1000*Dados!$C$9)</f>
        <v/>
      </c>
      <c r="I26" s="80">
        <f>I25+0.5*(F26+F25)*(A26-A25)</f>
        <v/>
      </c>
      <c r="J26" s="79">
        <f>J25+0.5*(I26+I25)*(A26-A25)</f>
        <v/>
      </c>
      <c r="K26" s="66">
        <f>(J26-J$28*A26/Dados!$C$5)*1000</f>
        <v/>
      </c>
      <c r="L26" s="80">
        <f>L25+0.5*(G26+G25)*(A26-A25)</f>
        <v/>
      </c>
      <c r="M26" s="79">
        <f>M25+0.5*(L26+L25)*(A26-A25)</f>
        <v/>
      </c>
      <c r="N26" s="66">
        <f>(M26-M$28*A26/Dados!$C$5)*1000</f>
        <v/>
      </c>
      <c r="O26" s="80">
        <f>O25+0.5*(H26+H25)*(A26-A25)</f>
        <v/>
      </c>
      <c r="P26" s="79">
        <f>P25+0.5*(O26+O25)*(A26-A25)</f>
        <v/>
      </c>
      <c r="Q26" s="66">
        <f>(P26-P$28*A26/Dados!$C$5)*1000</f>
        <v/>
      </c>
      <c r="R26" s="66">
        <f>Q26*(1+Dados!$C$73)</f>
        <v/>
      </c>
    </row>
    <row r="27" ht="15" customHeight="1" s="47">
      <c r="A27" s="63">
        <f>Tracado_Perdas!B27</f>
        <v/>
      </c>
      <c r="B27" s="63">
        <f>Esforcos!E27</f>
        <v/>
      </c>
      <c r="C27" s="63">
        <f>Dados!$C$35*(3*Dados!$C$33*Dados!$C$5*Esforcos!C27/8-Dados!$C$33*Esforcos!C27^2/2)</f>
        <v/>
      </c>
      <c r="D27" s="63">
        <f>Tensoes!F27</f>
        <v/>
      </c>
      <c r="E27" s="63">
        <f>B27+C27+D27</f>
        <v/>
      </c>
      <c r="F27" s="79">
        <f>-B27/(Dados!$C$20*1000*Dados!$C$9)</f>
        <v/>
      </c>
      <c r="G27" s="79">
        <f>-D27/(Dados!$C$20*1000*Dados!$C$9)</f>
        <v/>
      </c>
      <c r="H27" s="79">
        <f>-E27/(Dados!$C$20*1000*Dados!$C$9)</f>
        <v/>
      </c>
      <c r="I27" s="80">
        <f>I26+0.5*(F27+F26)*(A27-A26)</f>
        <v/>
      </c>
      <c r="J27" s="79">
        <f>J26+0.5*(I27+I26)*(A27-A26)</f>
        <v/>
      </c>
      <c r="K27" s="66">
        <f>(J27-J$28*A27/Dados!$C$5)*1000</f>
        <v/>
      </c>
      <c r="L27" s="80">
        <f>L26+0.5*(G27+G26)*(A27-A26)</f>
        <v/>
      </c>
      <c r="M27" s="79">
        <f>M26+0.5*(L27+L26)*(A27-A26)</f>
        <v/>
      </c>
      <c r="N27" s="66">
        <f>(M27-M$28*A27/Dados!$C$5)*1000</f>
        <v/>
      </c>
      <c r="O27" s="80">
        <f>O26+0.5*(H27+H26)*(A27-A26)</f>
        <v/>
      </c>
      <c r="P27" s="79">
        <f>P26+0.5*(O27+O26)*(A27-A26)</f>
        <v/>
      </c>
      <c r="Q27" s="66">
        <f>(P27-P$28*A27/Dados!$C$5)*1000</f>
        <v/>
      </c>
      <c r="R27" s="66">
        <f>Q27*(1+Dados!$C$73)</f>
        <v/>
      </c>
    </row>
    <row r="28" ht="15" customHeight="1" s="47">
      <c r="A28" s="63">
        <f>Tracado_Perdas!B28</f>
        <v/>
      </c>
      <c r="B28" s="63">
        <f>Esforcos!E28</f>
        <v/>
      </c>
      <c r="C28" s="63">
        <f>Dados!$C$35*(3*Dados!$C$33*Dados!$C$5*Esforcos!C28/8-Dados!$C$33*Esforcos!C28^2/2)</f>
        <v/>
      </c>
      <c r="D28" s="63">
        <f>Tensoes!F28</f>
        <v/>
      </c>
      <c r="E28" s="63">
        <f>B28+C28+D28</f>
        <v/>
      </c>
      <c r="F28" s="79">
        <f>-B28/(Dados!$C$20*1000*Dados!$C$9)</f>
        <v/>
      </c>
      <c r="G28" s="79">
        <f>-D28/(Dados!$C$20*1000*Dados!$C$9)</f>
        <v/>
      </c>
      <c r="H28" s="79">
        <f>-E28/(Dados!$C$20*1000*Dados!$C$9)</f>
        <v/>
      </c>
      <c r="I28" s="80">
        <f>I27+0.5*(F28+F27)*(A28-A27)</f>
        <v/>
      </c>
      <c r="J28" s="79">
        <f>J27+0.5*(I28+I27)*(A28-A27)</f>
        <v/>
      </c>
      <c r="K28" s="66">
        <f>(J28-J$28*A28/Dados!$C$5)*1000</f>
        <v/>
      </c>
      <c r="L28" s="80">
        <f>L27+0.5*(G28+G27)*(A28-A27)</f>
        <v/>
      </c>
      <c r="M28" s="79">
        <f>M27+0.5*(L28+L27)*(A28-A27)</f>
        <v/>
      </c>
      <c r="N28" s="66">
        <f>(M28-M$28*A28/Dados!$C$5)*1000</f>
        <v/>
      </c>
      <c r="O28" s="80">
        <f>O27+0.5*(H28+H27)*(A28-A27)</f>
        <v/>
      </c>
      <c r="P28" s="79">
        <f>P27+0.5*(O28+O27)*(A28-A27)</f>
        <v/>
      </c>
      <c r="Q28" s="66">
        <f>(P28-P$28*A28/Dados!$C$5)*1000</f>
        <v/>
      </c>
      <c r="R28" s="66">
        <f>Q28*(1+Dados!$C$73)</f>
        <v/>
      </c>
    </row>
    <row r="29" ht="15" customHeight="1" s="47">
      <c r="A29" s="63">
        <f>Tracado_Perdas!B29</f>
        <v/>
      </c>
      <c r="B29" s="63">
        <f>Esforcos!E29</f>
        <v/>
      </c>
      <c r="C29" s="63">
        <f>Dados!$C$35*(3*Dados!$C$33*Dados!$C$5*Esforcos!C29/8-Dados!$C$33*Esforcos!C29^2/2)</f>
        <v/>
      </c>
      <c r="D29" s="63">
        <f>Tensoes!F29</f>
        <v/>
      </c>
      <c r="E29" s="63">
        <f>B29+C29+D29</f>
        <v/>
      </c>
      <c r="F29" s="79">
        <f>-B29/(Dados!$C$20*1000*Dados!$C$9)</f>
        <v/>
      </c>
      <c r="G29" s="79">
        <f>-D29/(Dados!$C$20*1000*Dados!$C$9)</f>
        <v/>
      </c>
      <c r="H29" s="79">
        <f>-E29/(Dados!$C$20*1000*Dados!$C$9)</f>
        <v/>
      </c>
      <c r="I29" s="80">
        <f>I28+0.5*(F29+F28)*(A29-A28)</f>
        <v/>
      </c>
      <c r="J29" s="79">
        <f>J28+0.5*(I29+I28)*(A29-A28)</f>
        <v/>
      </c>
      <c r="K29" s="66">
        <f>(J29-J$28*A29/Dados!$C$5)*1000</f>
        <v/>
      </c>
      <c r="L29" s="80">
        <f>L28+0.5*(G29+G28)*(A29-A28)</f>
        <v/>
      </c>
      <c r="M29" s="79">
        <f>M28+0.5*(L29+L28)*(A29-A28)</f>
        <v/>
      </c>
      <c r="N29" s="66">
        <f>(M29-M$28*A29/Dados!$C$5)*1000</f>
        <v/>
      </c>
      <c r="O29" s="80">
        <f>O28+0.5*(H29+H28)*(A29-A28)</f>
        <v/>
      </c>
      <c r="P29" s="79">
        <f>P28+0.5*(O29+O28)*(A29-A28)</f>
        <v/>
      </c>
      <c r="Q29" s="66">
        <f>(P29-P$28*A29/Dados!$C$5)*1000</f>
        <v/>
      </c>
      <c r="R29" s="66">
        <f>Q29*(1+Dados!$C$73)</f>
        <v/>
      </c>
    </row>
    <row r="30" ht="15" customHeight="1" s="47">
      <c r="A30" s="63">
        <f>Tracado_Perdas!B30</f>
        <v/>
      </c>
      <c r="B30" s="63">
        <f>Esforcos!E30</f>
        <v/>
      </c>
      <c r="C30" s="63">
        <f>Dados!$C$35*(3*Dados!$C$33*Dados!$C$5*Esforcos!C30/8-Dados!$C$33*Esforcos!C30^2/2)</f>
        <v/>
      </c>
      <c r="D30" s="63">
        <f>Tensoes!F30</f>
        <v/>
      </c>
      <c r="E30" s="63">
        <f>B30+C30+D30</f>
        <v/>
      </c>
      <c r="F30" s="79">
        <f>-B30/(Dados!$C$20*1000*Dados!$C$9)</f>
        <v/>
      </c>
      <c r="G30" s="79">
        <f>-D30/(Dados!$C$20*1000*Dados!$C$9)</f>
        <v/>
      </c>
      <c r="H30" s="79">
        <f>-E30/(Dados!$C$20*1000*Dados!$C$9)</f>
        <v/>
      </c>
      <c r="I30" s="80">
        <f>I29+0.5*(F30+F29)*(A30-A29)</f>
        <v/>
      </c>
      <c r="J30" s="79">
        <f>J29+0.5*(I30+I29)*(A30-A29)</f>
        <v/>
      </c>
      <c r="K30" s="66">
        <f>(J30-J$28*A30/Dados!$C$5)*1000</f>
        <v/>
      </c>
      <c r="L30" s="80">
        <f>L29+0.5*(G30+G29)*(A30-A29)</f>
        <v/>
      </c>
      <c r="M30" s="79">
        <f>M29+0.5*(L30+L29)*(A30-A29)</f>
        <v/>
      </c>
      <c r="N30" s="66">
        <f>(M30-M$28*A30/Dados!$C$5)*1000</f>
        <v/>
      </c>
      <c r="O30" s="80">
        <f>O29+0.5*(H30+H29)*(A30-A29)</f>
        <v/>
      </c>
      <c r="P30" s="79">
        <f>P29+0.5*(O30+O29)*(A30-A29)</f>
        <v/>
      </c>
      <c r="Q30" s="66">
        <f>(P30-P$28*A30/Dados!$C$5)*1000</f>
        <v/>
      </c>
      <c r="R30" s="66">
        <f>Q30*(1+Dados!$C$73)</f>
        <v/>
      </c>
    </row>
    <row r="31" ht="15" customHeight="1" s="47">
      <c r="A31" s="63">
        <f>Tracado_Perdas!B31</f>
        <v/>
      </c>
      <c r="B31" s="63">
        <f>Esforcos!E31</f>
        <v/>
      </c>
      <c r="C31" s="63">
        <f>Dados!$C$35*(3*Dados!$C$33*Dados!$C$5*Esforcos!C31/8-Dados!$C$33*Esforcos!C31^2/2)</f>
        <v/>
      </c>
      <c r="D31" s="63">
        <f>Tensoes!F31</f>
        <v/>
      </c>
      <c r="E31" s="63">
        <f>B31+C31+D31</f>
        <v/>
      </c>
      <c r="F31" s="79">
        <f>-B31/(Dados!$C$20*1000*Dados!$C$9)</f>
        <v/>
      </c>
      <c r="G31" s="79">
        <f>-D31/(Dados!$C$20*1000*Dados!$C$9)</f>
        <v/>
      </c>
      <c r="H31" s="79">
        <f>-E31/(Dados!$C$20*1000*Dados!$C$9)</f>
        <v/>
      </c>
      <c r="I31" s="80">
        <f>I30+0.5*(F31+F30)*(A31-A30)</f>
        <v/>
      </c>
      <c r="J31" s="79">
        <f>J30+0.5*(I31+I30)*(A31-A30)</f>
        <v/>
      </c>
      <c r="K31" s="66">
        <f>(J31-J$28*A31/Dados!$C$5)*1000</f>
        <v/>
      </c>
      <c r="L31" s="80">
        <f>L30+0.5*(G31+G30)*(A31-A30)</f>
        <v/>
      </c>
      <c r="M31" s="79">
        <f>M30+0.5*(L31+L30)*(A31-A30)</f>
        <v/>
      </c>
      <c r="N31" s="66">
        <f>(M31-M$28*A31/Dados!$C$5)*1000</f>
        <v/>
      </c>
      <c r="O31" s="80">
        <f>O30+0.5*(H31+H30)*(A31-A30)</f>
        <v/>
      </c>
      <c r="P31" s="79">
        <f>P30+0.5*(O31+O30)*(A31-A30)</f>
        <v/>
      </c>
      <c r="Q31" s="66">
        <f>(P31-P$28*A31/Dados!$C$5)*1000</f>
        <v/>
      </c>
      <c r="R31" s="66">
        <f>Q31*(1+Dados!$C$73)</f>
        <v/>
      </c>
    </row>
    <row r="32" ht="15" customHeight="1" s="47">
      <c r="A32" s="63">
        <f>Tracado_Perdas!B32</f>
        <v/>
      </c>
      <c r="B32" s="63">
        <f>Esforcos!E32</f>
        <v/>
      </c>
      <c r="C32" s="63">
        <f>Dados!$C$35*(3*Dados!$C$33*Dados!$C$5*Esforcos!C32/8-Dados!$C$33*Esforcos!C32^2/2)</f>
        <v/>
      </c>
      <c r="D32" s="63">
        <f>Tensoes!F32</f>
        <v/>
      </c>
      <c r="E32" s="63">
        <f>B32+C32+D32</f>
        <v/>
      </c>
      <c r="F32" s="79">
        <f>-B32/(Dados!$C$20*1000*Dados!$C$9)</f>
        <v/>
      </c>
      <c r="G32" s="79">
        <f>-D32/(Dados!$C$20*1000*Dados!$C$9)</f>
        <v/>
      </c>
      <c r="H32" s="79">
        <f>-E32/(Dados!$C$20*1000*Dados!$C$9)</f>
        <v/>
      </c>
      <c r="I32" s="80">
        <f>I31+0.5*(F32+F31)*(A32-A31)</f>
        <v/>
      </c>
      <c r="J32" s="79">
        <f>J31+0.5*(I32+I31)*(A32-A31)</f>
        <v/>
      </c>
      <c r="K32" s="66">
        <f>(J32-J$28*A32/Dados!$C$5)*1000</f>
        <v/>
      </c>
      <c r="L32" s="80">
        <f>L31+0.5*(G32+G31)*(A32-A31)</f>
        <v/>
      </c>
      <c r="M32" s="79">
        <f>M31+0.5*(L32+L31)*(A32-A31)</f>
        <v/>
      </c>
      <c r="N32" s="66">
        <f>(M32-M$28*A32/Dados!$C$5)*1000</f>
        <v/>
      </c>
      <c r="O32" s="80">
        <f>O31+0.5*(H32+H31)*(A32-A31)</f>
        <v/>
      </c>
      <c r="P32" s="79">
        <f>P31+0.5*(O32+O31)*(A32-A31)</f>
        <v/>
      </c>
      <c r="Q32" s="66">
        <f>(P32-P$28*A32/Dados!$C$5)*1000</f>
        <v/>
      </c>
      <c r="R32" s="66">
        <f>Q32*(1+Dados!$C$73)</f>
        <v/>
      </c>
    </row>
    <row r="33" ht="15" customHeight="1" s="47">
      <c r="A33" s="63">
        <f>Tracado_Perdas!B33</f>
        <v/>
      </c>
      <c r="B33" s="63">
        <f>Esforcos!E33</f>
        <v/>
      </c>
      <c r="C33" s="63">
        <f>Dados!$C$35*(3*Dados!$C$33*Dados!$C$5*Esforcos!C33/8-Dados!$C$33*Esforcos!C33^2/2)</f>
        <v/>
      </c>
      <c r="D33" s="63">
        <f>Tensoes!F33</f>
        <v/>
      </c>
      <c r="E33" s="63">
        <f>B33+C33+D33</f>
        <v/>
      </c>
      <c r="F33" s="79">
        <f>-B33/(Dados!$C$20*1000*Dados!$C$9)</f>
        <v/>
      </c>
      <c r="G33" s="79">
        <f>-D33/(Dados!$C$20*1000*Dados!$C$9)</f>
        <v/>
      </c>
      <c r="H33" s="79">
        <f>-E33/(Dados!$C$20*1000*Dados!$C$9)</f>
        <v/>
      </c>
      <c r="I33" s="80">
        <f>I32+0.5*(F33+F32)*(A33-A32)</f>
        <v/>
      </c>
      <c r="J33" s="79">
        <f>J32+0.5*(I33+I32)*(A33-A32)</f>
        <v/>
      </c>
      <c r="K33" s="66">
        <f>(J33-J$28*A33/Dados!$C$5)*1000</f>
        <v/>
      </c>
      <c r="L33" s="80">
        <f>L32+0.5*(G33+G32)*(A33-A32)</f>
        <v/>
      </c>
      <c r="M33" s="79">
        <f>M32+0.5*(L33+L32)*(A33-A32)</f>
        <v/>
      </c>
      <c r="N33" s="66">
        <f>(M33-M$28*A33/Dados!$C$5)*1000</f>
        <v/>
      </c>
      <c r="O33" s="80">
        <f>O32+0.5*(H33+H32)*(A33-A32)</f>
        <v/>
      </c>
      <c r="P33" s="79">
        <f>P32+0.5*(O33+O32)*(A33-A32)</f>
        <v/>
      </c>
      <c r="Q33" s="66">
        <f>(P33-P$28*A33/Dados!$C$5)*1000</f>
        <v/>
      </c>
      <c r="R33" s="66">
        <f>Q33*(1+Dados!$C$73)</f>
        <v/>
      </c>
    </row>
    <row r="34" ht="15" customHeight="1" s="47">
      <c r="A34" s="63">
        <f>Tracado_Perdas!B34</f>
        <v/>
      </c>
      <c r="B34" s="63">
        <f>Esforcos!E34</f>
        <v/>
      </c>
      <c r="C34" s="63">
        <f>Dados!$C$35*(3*Dados!$C$33*Dados!$C$5*Esforcos!C34/8-Dados!$C$33*Esforcos!C34^2/2)</f>
        <v/>
      </c>
      <c r="D34" s="63">
        <f>Tensoes!F34</f>
        <v/>
      </c>
      <c r="E34" s="63">
        <f>B34+C34+D34</f>
        <v/>
      </c>
      <c r="F34" s="79">
        <f>-B34/(Dados!$C$20*1000*Dados!$C$9)</f>
        <v/>
      </c>
      <c r="G34" s="79">
        <f>-D34/(Dados!$C$20*1000*Dados!$C$9)</f>
        <v/>
      </c>
      <c r="H34" s="79">
        <f>-E34/(Dados!$C$20*1000*Dados!$C$9)</f>
        <v/>
      </c>
      <c r="I34" s="80">
        <f>I33+0.5*(F34+F33)*(A34-A33)</f>
        <v/>
      </c>
      <c r="J34" s="79">
        <f>J33+0.5*(I34+I33)*(A34-A33)</f>
        <v/>
      </c>
      <c r="K34" s="66">
        <f>(J34-J$28*A34/Dados!$C$5)*1000</f>
        <v/>
      </c>
      <c r="L34" s="80">
        <f>L33+0.5*(G34+G33)*(A34-A33)</f>
        <v/>
      </c>
      <c r="M34" s="79">
        <f>M33+0.5*(L34+L33)*(A34-A33)</f>
        <v/>
      </c>
      <c r="N34" s="66">
        <f>(M34-M$28*A34/Dados!$C$5)*1000</f>
        <v/>
      </c>
      <c r="O34" s="80">
        <f>O33+0.5*(H34+H33)*(A34-A33)</f>
        <v/>
      </c>
      <c r="P34" s="79">
        <f>P33+0.5*(O34+O33)*(A34-A33)</f>
        <v/>
      </c>
      <c r="Q34" s="66">
        <f>(P34-P$28*A34/Dados!$C$5)*1000</f>
        <v/>
      </c>
      <c r="R34" s="66">
        <f>Q34*(1+Dados!$C$73)</f>
        <v/>
      </c>
    </row>
    <row r="35" ht="15" customHeight="1" s="47">
      <c r="A35" s="63">
        <f>Tracado_Perdas!B35</f>
        <v/>
      </c>
      <c r="B35" s="63">
        <f>Esforcos!E35</f>
        <v/>
      </c>
      <c r="C35" s="63">
        <f>Dados!$C$35*(3*Dados!$C$33*Dados!$C$5*Esforcos!C35/8-Dados!$C$33*Esforcos!C35^2/2)</f>
        <v/>
      </c>
      <c r="D35" s="63">
        <f>Tensoes!F35</f>
        <v/>
      </c>
      <c r="E35" s="63">
        <f>B35+C35+D35</f>
        <v/>
      </c>
      <c r="F35" s="79">
        <f>-B35/(Dados!$C$20*1000*Dados!$C$9)</f>
        <v/>
      </c>
      <c r="G35" s="79">
        <f>-D35/(Dados!$C$20*1000*Dados!$C$9)</f>
        <v/>
      </c>
      <c r="H35" s="79">
        <f>-E35/(Dados!$C$20*1000*Dados!$C$9)</f>
        <v/>
      </c>
      <c r="I35" s="80">
        <f>I34+0.5*(F35+F34)*(A35-A34)</f>
        <v/>
      </c>
      <c r="J35" s="79">
        <f>J34+0.5*(I35+I34)*(A35-A34)</f>
        <v/>
      </c>
      <c r="K35" s="66">
        <f>(J35-J$28*A35/Dados!$C$5)*1000</f>
        <v/>
      </c>
      <c r="L35" s="80">
        <f>L34+0.5*(G35+G34)*(A35-A34)</f>
        <v/>
      </c>
      <c r="M35" s="79">
        <f>M34+0.5*(L35+L34)*(A35-A34)</f>
        <v/>
      </c>
      <c r="N35" s="66">
        <f>(M35-M$28*A35/Dados!$C$5)*1000</f>
        <v/>
      </c>
      <c r="O35" s="80">
        <f>O34+0.5*(H35+H34)*(A35-A34)</f>
        <v/>
      </c>
      <c r="P35" s="79">
        <f>P34+0.5*(O35+O34)*(A35-A34)</f>
        <v/>
      </c>
      <c r="Q35" s="66">
        <f>(P35-P$28*A35/Dados!$C$5)*1000</f>
        <v/>
      </c>
      <c r="R35" s="66">
        <f>Q35*(1+Dados!$C$73)</f>
        <v/>
      </c>
    </row>
    <row r="36" ht="15" customHeight="1" s="47">
      <c r="A36" s="63">
        <f>Tracado_Perdas!B36</f>
        <v/>
      </c>
      <c r="B36" s="63">
        <f>Esforcos!E36</f>
        <v/>
      </c>
      <c r="C36" s="63">
        <f>Dados!$C$35*(3*Dados!$C$33*Dados!$C$5*Esforcos!C36/8-Dados!$C$33*Esforcos!C36^2/2)</f>
        <v/>
      </c>
      <c r="D36" s="63">
        <f>Tensoes!F36</f>
        <v/>
      </c>
      <c r="E36" s="63">
        <f>B36+C36+D36</f>
        <v/>
      </c>
      <c r="F36" s="79">
        <f>-B36/(Dados!$C$20*1000*Dados!$C$9)</f>
        <v/>
      </c>
      <c r="G36" s="79">
        <f>-D36/(Dados!$C$20*1000*Dados!$C$9)</f>
        <v/>
      </c>
      <c r="H36" s="79">
        <f>-E36/(Dados!$C$20*1000*Dados!$C$9)</f>
        <v/>
      </c>
      <c r="I36" s="80">
        <f>I35+0.5*(F36+F35)*(A36-A35)</f>
        <v/>
      </c>
      <c r="J36" s="79">
        <f>J35+0.5*(I36+I35)*(A36-A35)</f>
        <v/>
      </c>
      <c r="K36" s="66">
        <f>(J36-J$28*A36/Dados!$C$5)*1000</f>
        <v/>
      </c>
      <c r="L36" s="80">
        <f>L35+0.5*(G36+G35)*(A36-A35)</f>
        <v/>
      </c>
      <c r="M36" s="79">
        <f>M35+0.5*(L36+L35)*(A36-A35)</f>
        <v/>
      </c>
      <c r="N36" s="66">
        <f>(M36-M$28*A36/Dados!$C$5)*1000</f>
        <v/>
      </c>
      <c r="O36" s="80">
        <f>O35+0.5*(H36+H35)*(A36-A35)</f>
        <v/>
      </c>
      <c r="P36" s="79">
        <f>P35+0.5*(O36+O35)*(A36-A35)</f>
        <v/>
      </c>
      <c r="Q36" s="66">
        <f>(P36-P$28*A36/Dados!$C$5)*1000</f>
        <v/>
      </c>
      <c r="R36" s="66">
        <f>Q36*(1+Dados!$C$73)</f>
        <v/>
      </c>
    </row>
    <row r="37" ht="15" customHeight="1" s="47">
      <c r="A37" s="63">
        <f>Tracado_Perdas!B37</f>
        <v/>
      </c>
      <c r="B37" s="63">
        <f>Esforcos!E37</f>
        <v/>
      </c>
      <c r="C37" s="63">
        <f>Dados!$C$35*(3*Dados!$C$33*Dados!$C$5*Esforcos!C37/8-Dados!$C$33*Esforcos!C37^2/2)</f>
        <v/>
      </c>
      <c r="D37" s="63">
        <f>Tensoes!F37</f>
        <v/>
      </c>
      <c r="E37" s="63">
        <f>B37+C37+D37</f>
        <v/>
      </c>
      <c r="F37" s="79">
        <f>-B37/(Dados!$C$20*1000*Dados!$C$9)</f>
        <v/>
      </c>
      <c r="G37" s="79">
        <f>-D37/(Dados!$C$20*1000*Dados!$C$9)</f>
        <v/>
      </c>
      <c r="H37" s="79">
        <f>-E37/(Dados!$C$20*1000*Dados!$C$9)</f>
        <v/>
      </c>
      <c r="I37" s="80">
        <f>I36+0.5*(F37+F36)*(A37-A36)</f>
        <v/>
      </c>
      <c r="J37" s="79">
        <f>J36+0.5*(I37+I36)*(A37-A36)</f>
        <v/>
      </c>
      <c r="K37" s="66">
        <f>(J37-J$28*A37/Dados!$C$5)*1000</f>
        <v/>
      </c>
      <c r="L37" s="80">
        <f>L36+0.5*(G37+G36)*(A37-A36)</f>
        <v/>
      </c>
      <c r="M37" s="79">
        <f>M36+0.5*(L37+L36)*(A37-A36)</f>
        <v/>
      </c>
      <c r="N37" s="66">
        <f>(M37-M$28*A37/Dados!$C$5)*1000</f>
        <v/>
      </c>
      <c r="O37" s="80">
        <f>O36+0.5*(H37+H36)*(A37-A36)</f>
        <v/>
      </c>
      <c r="P37" s="79">
        <f>P36+0.5*(O37+O36)*(A37-A36)</f>
        <v/>
      </c>
      <c r="Q37" s="66">
        <f>(P37-P$28*A37/Dados!$C$5)*1000</f>
        <v/>
      </c>
      <c r="R37" s="66">
        <f>Q37*(1+Dados!$C$73)</f>
        <v/>
      </c>
    </row>
    <row r="38" ht="15" customHeight="1" s="47">
      <c r="A38" s="63">
        <f>Tracado_Perdas!B38</f>
        <v/>
      </c>
      <c r="B38" s="63">
        <f>Esforcos!E38</f>
        <v/>
      </c>
      <c r="C38" s="63">
        <f>Dados!$C$35*(3*Dados!$C$33*Dados!$C$5*Esforcos!C38/8-Dados!$C$33*Esforcos!C38^2/2)</f>
        <v/>
      </c>
      <c r="D38" s="63">
        <f>Tensoes!F38</f>
        <v/>
      </c>
      <c r="E38" s="63">
        <f>B38+C38+D38</f>
        <v/>
      </c>
      <c r="F38" s="79">
        <f>-B38/(Dados!$C$20*1000*Dados!$C$9)</f>
        <v/>
      </c>
      <c r="G38" s="79">
        <f>-D38/(Dados!$C$20*1000*Dados!$C$9)</f>
        <v/>
      </c>
      <c r="H38" s="79">
        <f>-E38/(Dados!$C$20*1000*Dados!$C$9)</f>
        <v/>
      </c>
      <c r="I38" s="80">
        <f>I37+0.5*(F38+F37)*(A38-A37)</f>
        <v/>
      </c>
      <c r="J38" s="79">
        <f>J37+0.5*(I38+I37)*(A38-A37)</f>
        <v/>
      </c>
      <c r="K38" s="66">
        <f>(J38-J$28*A38/Dados!$C$5)*1000</f>
        <v/>
      </c>
      <c r="L38" s="80">
        <f>L37+0.5*(G38+G37)*(A38-A37)</f>
        <v/>
      </c>
      <c r="M38" s="79">
        <f>M37+0.5*(L38+L37)*(A38-A37)</f>
        <v/>
      </c>
      <c r="N38" s="66">
        <f>(M38-M$28*A38/Dados!$C$5)*1000</f>
        <v/>
      </c>
      <c r="O38" s="80">
        <f>O37+0.5*(H38+H37)*(A38-A37)</f>
        <v/>
      </c>
      <c r="P38" s="79">
        <f>P37+0.5*(O38+O37)*(A38-A37)</f>
        <v/>
      </c>
      <c r="Q38" s="66">
        <f>(P38-P$28*A38/Dados!$C$5)*1000</f>
        <v/>
      </c>
      <c r="R38" s="66">
        <f>Q38*(1+Dados!$C$73)</f>
        <v/>
      </c>
    </row>
    <row r="39" ht="15" customHeight="1" s="47">
      <c r="A39" s="63">
        <f>Tracado_Perdas!B39</f>
        <v/>
      </c>
      <c r="B39" s="63">
        <f>Esforcos!E39</f>
        <v/>
      </c>
      <c r="C39" s="63">
        <f>Dados!$C$35*(3*Dados!$C$33*Dados!$C$5*Esforcos!C39/8-Dados!$C$33*Esforcos!C39^2/2)</f>
        <v/>
      </c>
      <c r="D39" s="63">
        <f>Tensoes!F39</f>
        <v/>
      </c>
      <c r="E39" s="63">
        <f>B39+C39+D39</f>
        <v/>
      </c>
      <c r="F39" s="79">
        <f>-B39/(Dados!$C$20*1000*Dados!$C$9)</f>
        <v/>
      </c>
      <c r="G39" s="79">
        <f>-D39/(Dados!$C$20*1000*Dados!$C$9)</f>
        <v/>
      </c>
      <c r="H39" s="79">
        <f>-E39/(Dados!$C$20*1000*Dados!$C$9)</f>
        <v/>
      </c>
      <c r="I39" s="80">
        <f>I38+0.5*(F39+F38)*(A39-A38)</f>
        <v/>
      </c>
      <c r="J39" s="79">
        <f>J38+0.5*(I39+I38)*(A39-A38)</f>
        <v/>
      </c>
      <c r="K39" s="66">
        <f>(J39-J$28*A39/Dados!$C$5)*1000</f>
        <v/>
      </c>
      <c r="L39" s="80">
        <f>L38+0.5*(G39+G38)*(A39-A38)</f>
        <v/>
      </c>
      <c r="M39" s="79">
        <f>M38+0.5*(L39+L38)*(A39-A38)</f>
        <v/>
      </c>
      <c r="N39" s="66">
        <f>(M39-M$28*A39/Dados!$C$5)*1000</f>
        <v/>
      </c>
      <c r="O39" s="80">
        <f>O38+0.5*(H39+H38)*(A39-A38)</f>
        <v/>
      </c>
      <c r="P39" s="79">
        <f>P38+0.5*(O39+O38)*(A39-A38)</f>
        <v/>
      </c>
      <c r="Q39" s="66">
        <f>(P39-P$28*A39/Dados!$C$5)*1000</f>
        <v/>
      </c>
      <c r="R39" s="66">
        <f>Q39*(1+Dados!$C$73)</f>
        <v/>
      </c>
    </row>
    <row r="40" ht="15" customHeight="1" s="47">
      <c r="A40" s="63">
        <f>Tracado_Perdas!B40</f>
        <v/>
      </c>
      <c r="B40" s="63">
        <f>Esforcos!E40</f>
        <v/>
      </c>
      <c r="C40" s="63">
        <f>Dados!$C$35*(3*Dados!$C$33*Dados!$C$5*Esforcos!C40/8-Dados!$C$33*Esforcos!C40^2/2)</f>
        <v/>
      </c>
      <c r="D40" s="63">
        <f>Tensoes!F40</f>
        <v/>
      </c>
      <c r="E40" s="63">
        <f>B40+C40+D40</f>
        <v/>
      </c>
      <c r="F40" s="79">
        <f>-B40/(Dados!$C$20*1000*Dados!$C$9)</f>
        <v/>
      </c>
      <c r="G40" s="79">
        <f>-D40/(Dados!$C$20*1000*Dados!$C$9)</f>
        <v/>
      </c>
      <c r="H40" s="79">
        <f>-E40/(Dados!$C$20*1000*Dados!$C$9)</f>
        <v/>
      </c>
      <c r="I40" s="80">
        <f>I39+0.5*(F40+F39)*(A40-A39)</f>
        <v/>
      </c>
      <c r="J40" s="79">
        <f>J39+0.5*(I40+I39)*(A40-A39)</f>
        <v/>
      </c>
      <c r="K40" s="66">
        <f>(J40-J$28*A40/Dados!$C$5)*1000</f>
        <v/>
      </c>
      <c r="L40" s="80">
        <f>L39+0.5*(G40+G39)*(A40-A39)</f>
        <v/>
      </c>
      <c r="M40" s="79">
        <f>M39+0.5*(L40+L39)*(A40-A39)</f>
        <v/>
      </c>
      <c r="N40" s="66">
        <f>(M40-M$28*A40/Dados!$C$5)*1000</f>
        <v/>
      </c>
      <c r="O40" s="80">
        <f>O39+0.5*(H40+H39)*(A40-A39)</f>
        <v/>
      </c>
      <c r="P40" s="79">
        <f>P39+0.5*(O40+O39)*(A40-A39)</f>
        <v/>
      </c>
      <c r="Q40" s="66">
        <f>(P40-P$28*A40/Dados!$C$5)*1000</f>
        <v/>
      </c>
      <c r="R40" s="66">
        <f>Q40*(1+Dados!$C$73)</f>
        <v/>
      </c>
    </row>
    <row r="41" ht="15" customHeight="1" s="47">
      <c r="A41" s="63">
        <f>Tracado_Perdas!B41</f>
        <v/>
      </c>
      <c r="B41" s="63">
        <f>Esforcos!E41</f>
        <v/>
      </c>
      <c r="C41" s="63">
        <f>Dados!$C$35*(3*Dados!$C$33*Dados!$C$5*Esforcos!C41/8-Dados!$C$33*Esforcos!C41^2/2)</f>
        <v/>
      </c>
      <c r="D41" s="63">
        <f>Tensoes!F41</f>
        <v/>
      </c>
      <c r="E41" s="63">
        <f>B41+C41+D41</f>
        <v/>
      </c>
      <c r="F41" s="79">
        <f>-B41/(Dados!$C$20*1000*Dados!$C$9)</f>
        <v/>
      </c>
      <c r="G41" s="79">
        <f>-D41/(Dados!$C$20*1000*Dados!$C$9)</f>
        <v/>
      </c>
      <c r="H41" s="79">
        <f>-E41/(Dados!$C$20*1000*Dados!$C$9)</f>
        <v/>
      </c>
      <c r="I41" s="80">
        <f>I40+0.5*(F41+F40)*(A41-A40)</f>
        <v/>
      </c>
      <c r="J41" s="79">
        <f>J40+0.5*(I41+I40)*(A41-A40)</f>
        <v/>
      </c>
      <c r="K41" s="66">
        <f>(J41-J$28*A41/Dados!$C$5)*1000</f>
        <v/>
      </c>
      <c r="L41" s="80">
        <f>L40+0.5*(G41+G40)*(A41-A40)</f>
        <v/>
      </c>
      <c r="M41" s="79">
        <f>M40+0.5*(L41+L40)*(A41-A40)</f>
        <v/>
      </c>
      <c r="N41" s="66">
        <f>(M41-M$28*A41/Dados!$C$5)*1000</f>
        <v/>
      </c>
      <c r="O41" s="80">
        <f>O40+0.5*(H41+H40)*(A41-A40)</f>
        <v/>
      </c>
      <c r="P41" s="79">
        <f>P40+0.5*(O41+O40)*(A41-A40)</f>
        <v/>
      </c>
      <c r="Q41" s="66">
        <f>(P41-P$28*A41/Dados!$C$5)*1000</f>
        <v/>
      </c>
      <c r="R41" s="66">
        <f>Q41*(1+Dados!$C$73)</f>
        <v/>
      </c>
    </row>
    <row r="42" ht="15" customHeight="1" s="47">
      <c r="A42" s="63">
        <f>Tracado_Perdas!B42</f>
        <v/>
      </c>
      <c r="B42" s="63">
        <f>Esforcos!E42</f>
        <v/>
      </c>
      <c r="C42" s="63">
        <f>Dados!$C$35*(3*Dados!$C$33*Dados!$C$5*Esforcos!C42/8-Dados!$C$33*Esforcos!C42^2/2)</f>
        <v/>
      </c>
      <c r="D42" s="63">
        <f>Tensoes!F42</f>
        <v/>
      </c>
      <c r="E42" s="63">
        <f>B42+C42+D42</f>
        <v/>
      </c>
      <c r="F42" s="79">
        <f>-B42/(Dados!$C$20*1000*Dados!$C$9)</f>
        <v/>
      </c>
      <c r="G42" s="79">
        <f>-D42/(Dados!$C$20*1000*Dados!$C$9)</f>
        <v/>
      </c>
      <c r="H42" s="79">
        <f>-E42/(Dados!$C$20*1000*Dados!$C$9)</f>
        <v/>
      </c>
      <c r="I42" s="80">
        <f>I41+0.5*(F42+F41)*(A42-A41)</f>
        <v/>
      </c>
      <c r="J42" s="79">
        <f>J41+0.5*(I42+I41)*(A42-A41)</f>
        <v/>
      </c>
      <c r="K42" s="66">
        <f>(J42-J$28*A42/Dados!$C$5)*1000</f>
        <v/>
      </c>
      <c r="L42" s="80">
        <f>L41+0.5*(G42+G41)*(A42-A41)</f>
        <v/>
      </c>
      <c r="M42" s="79">
        <f>M41+0.5*(L42+L41)*(A42-A41)</f>
        <v/>
      </c>
      <c r="N42" s="66">
        <f>(M42-M$28*A42/Dados!$C$5)*1000</f>
        <v/>
      </c>
      <c r="O42" s="80">
        <f>O41+0.5*(H42+H41)*(A42-A41)</f>
        <v/>
      </c>
      <c r="P42" s="79">
        <f>P41+0.5*(O42+O41)*(A42-A41)</f>
        <v/>
      </c>
      <c r="Q42" s="66">
        <f>(P42-P$28*A42/Dados!$C$5)*1000</f>
        <v/>
      </c>
      <c r="R42" s="66">
        <f>Q42*(1+Dados!$C$73)</f>
        <v/>
      </c>
    </row>
    <row r="43" ht="15" customHeight="1" s="47">
      <c r="A43" s="63">
        <f>Tracado_Perdas!B43</f>
        <v/>
      </c>
      <c r="B43" s="63">
        <f>Esforcos!E43</f>
        <v/>
      </c>
      <c r="C43" s="63">
        <f>Dados!$C$35*(3*Dados!$C$33*Dados!$C$5*Esforcos!C43/8-Dados!$C$33*Esforcos!C43^2/2)</f>
        <v/>
      </c>
      <c r="D43" s="63">
        <f>Tensoes!F43</f>
        <v/>
      </c>
      <c r="E43" s="63">
        <f>B43+C43+D43</f>
        <v/>
      </c>
      <c r="F43" s="79">
        <f>-B43/(Dados!$C$20*1000*Dados!$C$9)</f>
        <v/>
      </c>
      <c r="G43" s="79">
        <f>-D43/(Dados!$C$20*1000*Dados!$C$9)</f>
        <v/>
      </c>
      <c r="H43" s="79">
        <f>-E43/(Dados!$C$20*1000*Dados!$C$9)</f>
        <v/>
      </c>
      <c r="I43" s="80">
        <f>I42+0.5*(F43+F42)*(A43-A42)</f>
        <v/>
      </c>
      <c r="J43" s="79">
        <f>J42+0.5*(I43+I42)*(A43-A42)</f>
        <v/>
      </c>
      <c r="K43" s="66">
        <f>(J43-J$28*A43/Dados!$C$5)*1000</f>
        <v/>
      </c>
      <c r="L43" s="80">
        <f>L42+0.5*(G43+G42)*(A43-A42)</f>
        <v/>
      </c>
      <c r="M43" s="79">
        <f>M42+0.5*(L43+L42)*(A43-A42)</f>
        <v/>
      </c>
      <c r="N43" s="66">
        <f>(M43-M$28*A43/Dados!$C$5)*1000</f>
        <v/>
      </c>
      <c r="O43" s="80">
        <f>O42+0.5*(H43+H42)*(A43-A42)</f>
        <v/>
      </c>
      <c r="P43" s="79">
        <f>P42+0.5*(O43+O42)*(A43-A42)</f>
        <v/>
      </c>
      <c r="Q43" s="66">
        <f>(P43-P$28*A43/Dados!$C$5)*1000</f>
        <v/>
      </c>
      <c r="R43" s="66">
        <f>Q43*(1+Dados!$C$73)</f>
        <v/>
      </c>
    </row>
    <row r="44" ht="15" customHeight="1" s="47">
      <c r="A44" s="63">
        <f>Tracado_Perdas!B44</f>
        <v/>
      </c>
      <c r="B44" s="63">
        <f>Esforcos!E44</f>
        <v/>
      </c>
      <c r="C44" s="63">
        <f>Dados!$C$35*(3*Dados!$C$33*Dados!$C$5*Esforcos!C44/8-Dados!$C$33*Esforcos!C44^2/2)</f>
        <v/>
      </c>
      <c r="D44" s="63">
        <f>Tensoes!F44</f>
        <v/>
      </c>
      <c r="E44" s="63">
        <f>B44+C44+D44</f>
        <v/>
      </c>
      <c r="F44" s="79">
        <f>-B44/(Dados!$C$20*1000*Dados!$C$9)</f>
        <v/>
      </c>
      <c r="G44" s="79">
        <f>-D44/(Dados!$C$20*1000*Dados!$C$9)</f>
        <v/>
      </c>
      <c r="H44" s="79">
        <f>-E44/(Dados!$C$20*1000*Dados!$C$9)</f>
        <v/>
      </c>
      <c r="I44" s="80">
        <f>I43+0.5*(F44+F43)*(A44-A43)</f>
        <v/>
      </c>
      <c r="J44" s="79">
        <f>J43+0.5*(I44+I43)*(A44-A43)</f>
        <v/>
      </c>
      <c r="K44" s="66">
        <f>(J44-J$28*A44/Dados!$C$5)*1000</f>
        <v/>
      </c>
      <c r="L44" s="80">
        <f>L43+0.5*(G44+G43)*(A44-A43)</f>
        <v/>
      </c>
      <c r="M44" s="79">
        <f>M43+0.5*(L44+L43)*(A44-A43)</f>
        <v/>
      </c>
      <c r="N44" s="66">
        <f>(M44-M$28*A44/Dados!$C$5)*1000</f>
        <v/>
      </c>
      <c r="O44" s="80">
        <f>O43+0.5*(H44+H43)*(A44-A43)</f>
        <v/>
      </c>
      <c r="P44" s="79">
        <f>P43+0.5*(O44+O43)*(A44-A43)</f>
        <v/>
      </c>
      <c r="Q44" s="66">
        <f>(P44-P$28*A44/Dados!$C$5)*1000</f>
        <v/>
      </c>
      <c r="R44" s="66">
        <f>Q44*(1+Dados!$C$73)</f>
        <v/>
      </c>
    </row>
    <row r="45" ht="15" customHeight="1" s="47">
      <c r="A45" s="63">
        <f>Tracado_Perdas!B45</f>
        <v/>
      </c>
      <c r="B45" s="63">
        <f>Esforcos!E45</f>
        <v/>
      </c>
      <c r="C45" s="63">
        <f>Dados!$C$35*(3*Dados!$C$33*Dados!$C$5*Esforcos!C45/8-Dados!$C$33*Esforcos!C45^2/2)</f>
        <v/>
      </c>
      <c r="D45" s="63">
        <f>Tensoes!F45</f>
        <v/>
      </c>
      <c r="E45" s="63">
        <f>B45+C45+D45</f>
        <v/>
      </c>
      <c r="F45" s="79">
        <f>-B45/(Dados!$C$20*1000*Dados!$C$9)</f>
        <v/>
      </c>
      <c r="G45" s="79">
        <f>-D45/(Dados!$C$20*1000*Dados!$C$9)</f>
        <v/>
      </c>
      <c r="H45" s="79">
        <f>-E45/(Dados!$C$20*1000*Dados!$C$9)</f>
        <v/>
      </c>
      <c r="I45" s="80">
        <f>I44+0.5*(F45+F44)*(A45-A44)</f>
        <v/>
      </c>
      <c r="J45" s="79">
        <f>J44+0.5*(I45+I44)*(A45-A44)</f>
        <v/>
      </c>
      <c r="K45" s="66">
        <f>(J45-J$28*A45/Dados!$C$5)*1000</f>
        <v/>
      </c>
      <c r="L45" s="80">
        <f>L44+0.5*(G45+G44)*(A45-A44)</f>
        <v/>
      </c>
      <c r="M45" s="79">
        <f>M44+0.5*(L45+L44)*(A45-A44)</f>
        <v/>
      </c>
      <c r="N45" s="66">
        <f>(M45-M$28*A45/Dados!$C$5)*1000</f>
        <v/>
      </c>
      <c r="O45" s="80">
        <f>O44+0.5*(H45+H44)*(A45-A44)</f>
        <v/>
      </c>
      <c r="P45" s="79">
        <f>P44+0.5*(O45+O44)*(A45-A44)</f>
        <v/>
      </c>
      <c r="Q45" s="66">
        <f>(P45-P$28*A45/Dados!$C$5)*1000</f>
        <v/>
      </c>
      <c r="R45" s="66">
        <f>Q45*(1+Dados!$C$73)</f>
        <v/>
      </c>
    </row>
    <row r="46" ht="15" customHeight="1" s="47">
      <c r="A46" s="63">
        <f>Tracado_Perdas!B46</f>
        <v/>
      </c>
      <c r="B46" s="63">
        <f>Esforcos!E46</f>
        <v/>
      </c>
      <c r="C46" s="63">
        <f>Dados!$C$35*(3*Dados!$C$33*Dados!$C$5*Esforcos!C46/8-Dados!$C$33*Esforcos!C46^2/2)</f>
        <v/>
      </c>
      <c r="D46" s="63">
        <f>Tensoes!F46</f>
        <v/>
      </c>
      <c r="E46" s="63">
        <f>B46+C46+D46</f>
        <v/>
      </c>
      <c r="F46" s="79">
        <f>-B46/(Dados!$C$20*1000*Dados!$C$9)</f>
        <v/>
      </c>
      <c r="G46" s="79">
        <f>-D46/(Dados!$C$20*1000*Dados!$C$9)</f>
        <v/>
      </c>
      <c r="H46" s="79">
        <f>-E46/(Dados!$C$20*1000*Dados!$C$9)</f>
        <v/>
      </c>
      <c r="I46" s="80">
        <f>I45+0.5*(F46+F45)*(A46-A45)</f>
        <v/>
      </c>
      <c r="J46" s="79">
        <f>J45+0.5*(I46+I45)*(A46-A45)</f>
        <v/>
      </c>
      <c r="K46" s="66">
        <f>(J46-J$28*A46/Dados!$C$5)*1000</f>
        <v/>
      </c>
      <c r="L46" s="80">
        <f>L45+0.5*(G46+G45)*(A46-A45)</f>
        <v/>
      </c>
      <c r="M46" s="79">
        <f>M45+0.5*(L46+L45)*(A46-A45)</f>
        <v/>
      </c>
      <c r="N46" s="66">
        <f>(M46-M$28*A46/Dados!$C$5)*1000</f>
        <v/>
      </c>
      <c r="O46" s="80">
        <f>O45+0.5*(H46+H45)*(A46-A45)</f>
        <v/>
      </c>
      <c r="P46" s="79">
        <f>P45+0.5*(O46+O45)*(A46-A45)</f>
        <v/>
      </c>
      <c r="Q46" s="66">
        <f>(P46-P$28*A46/Dados!$C$5)*1000</f>
        <v/>
      </c>
      <c r="R46" s="66">
        <f>Q46*(1+Dados!$C$73)</f>
        <v/>
      </c>
    </row>
    <row r="47" ht="15" customHeight="1" s="47">
      <c r="A47" s="63">
        <f>Tracado_Perdas!B47</f>
        <v/>
      </c>
      <c r="B47" s="63">
        <f>Esforcos!E47</f>
        <v/>
      </c>
      <c r="C47" s="63">
        <f>Dados!$C$35*(3*Dados!$C$33*Dados!$C$5*Esforcos!C47/8-Dados!$C$33*Esforcos!C47^2/2)</f>
        <v/>
      </c>
      <c r="D47" s="63">
        <f>Tensoes!F47</f>
        <v/>
      </c>
      <c r="E47" s="63">
        <f>B47+C47+D47</f>
        <v/>
      </c>
      <c r="F47" s="79">
        <f>-B47/(Dados!$C$20*1000*Dados!$C$9)</f>
        <v/>
      </c>
      <c r="G47" s="79">
        <f>-D47/(Dados!$C$20*1000*Dados!$C$9)</f>
        <v/>
      </c>
      <c r="H47" s="79">
        <f>-E47/(Dados!$C$20*1000*Dados!$C$9)</f>
        <v/>
      </c>
      <c r="I47" s="80">
        <f>I46+0.5*(F47+F46)*(A47-A46)</f>
        <v/>
      </c>
      <c r="J47" s="79">
        <f>J46+0.5*(I47+I46)*(A47-A46)</f>
        <v/>
      </c>
      <c r="K47" s="66">
        <f>(J47-J$28*A47/Dados!$C$5)*1000</f>
        <v/>
      </c>
      <c r="L47" s="80">
        <f>L46+0.5*(G47+G46)*(A47-A46)</f>
        <v/>
      </c>
      <c r="M47" s="79">
        <f>M46+0.5*(L47+L46)*(A47-A46)</f>
        <v/>
      </c>
      <c r="N47" s="66">
        <f>(M47-M$28*A47/Dados!$C$5)*1000</f>
        <v/>
      </c>
      <c r="O47" s="80">
        <f>O46+0.5*(H47+H46)*(A47-A46)</f>
        <v/>
      </c>
      <c r="P47" s="79">
        <f>P46+0.5*(O47+O46)*(A47-A46)</f>
        <v/>
      </c>
      <c r="Q47" s="66">
        <f>(P47-P$28*A47/Dados!$C$5)*1000</f>
        <v/>
      </c>
      <c r="R47" s="66">
        <f>Q47*(1+Dados!$C$73)</f>
        <v/>
      </c>
    </row>
    <row r="48" ht="15" customHeight="1" s="47">
      <c r="A48" s="63">
        <f>Tracado_Perdas!B48</f>
        <v/>
      </c>
      <c r="B48" s="63">
        <f>Esforcos!E48</f>
        <v/>
      </c>
      <c r="C48" s="63">
        <f>Dados!$C$35*(3*Dados!$C$33*Dados!$C$5*Esforcos!C48/8-Dados!$C$33*Esforcos!C48^2/2)</f>
        <v/>
      </c>
      <c r="D48" s="63">
        <f>Tensoes!F48</f>
        <v/>
      </c>
      <c r="E48" s="63">
        <f>B48+C48+D48</f>
        <v/>
      </c>
      <c r="F48" s="79">
        <f>-B48/(Dados!$C$20*1000*Dados!$C$9)</f>
        <v/>
      </c>
      <c r="G48" s="79">
        <f>-D48/(Dados!$C$20*1000*Dados!$C$9)</f>
        <v/>
      </c>
      <c r="H48" s="79">
        <f>-E48/(Dados!$C$20*1000*Dados!$C$9)</f>
        <v/>
      </c>
      <c r="I48" s="80">
        <f>I47+0.5*(F48+F47)*(A48-A47)</f>
        <v/>
      </c>
      <c r="J48" s="79">
        <f>J47+0.5*(I48+I47)*(A48-A47)</f>
        <v/>
      </c>
      <c r="K48" s="66">
        <f>(J48-J$28*A48/Dados!$C$5)*1000</f>
        <v/>
      </c>
      <c r="L48" s="80">
        <f>L47+0.5*(G48+G47)*(A48-A47)</f>
        <v/>
      </c>
      <c r="M48" s="79">
        <f>M47+0.5*(L48+L47)*(A48-A47)</f>
        <v/>
      </c>
      <c r="N48" s="66">
        <f>(M48-M$28*A48/Dados!$C$5)*1000</f>
        <v/>
      </c>
      <c r="O48" s="80">
        <f>O47+0.5*(H48+H47)*(A48-A47)</f>
        <v/>
      </c>
      <c r="P48" s="79">
        <f>P47+0.5*(O48+O47)*(A48-A47)</f>
        <v/>
      </c>
      <c r="Q48" s="66">
        <f>(P48-P$28*A48/Dados!$C$5)*1000</f>
        <v/>
      </c>
      <c r="R48" s="66">
        <f>Q48*(1+Dados!$C$73)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D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2" customWidth="1" style="46" min="1" max="1"/>
    <col width="16" customWidth="1" style="46" min="2" max="3"/>
  </cols>
  <sheetData>
    <row r="1" ht="16.15" customHeight="1" s="47">
      <c r="A1" s="59" t="inlineStr">
        <is>
          <t>Comparação com concreto armado - mesma seção 30×90, mesmas cargas</t>
        </is>
      </c>
    </row>
    <row r="2" ht="15" customHeight="1" s="47">
      <c r="A2" s="49" t="inlineStr">
        <is>
          <t>ELU: bloco retangular 0,8x·0,85·fcd (sem redistribuição). ELS-W: NBR 6118 17.3.3.2 (CF, ψ1). Deflexão: Branson com integração (aba CA_Flecha). Entradas em amarelo.</t>
        </is>
      </c>
    </row>
    <row r="4" ht="15" customHeight="1" s="47">
      <c r="A4" s="72" t="inlineStr">
        <is>
          <t>Grandeza</t>
        </is>
      </c>
      <c r="B4" s="72" t="inlineStr">
        <is>
          <t>Apoio B (M-)</t>
        </is>
      </c>
      <c r="C4" s="72" t="inlineStr">
        <is>
          <t>Vão (M+)</t>
        </is>
      </c>
      <c r="D4" s="72" t="inlineStr">
        <is>
          <t>Unid.</t>
        </is>
      </c>
    </row>
    <row r="5" ht="15" customHeight="1" s="47">
      <c r="A5" s="54" t="inlineStr">
        <is>
          <t>d (altura útil, 2 camadas)</t>
        </is>
      </c>
      <c r="B5" s="74" t="n">
        <v>0.82</v>
      </c>
      <c r="C5" s="74" t="n">
        <v>0.82</v>
      </c>
    </row>
    <row r="6" ht="15" customHeight="1" s="47">
      <c r="A6" s="54" t="inlineStr">
        <is>
          <t>Md = 1,4·(Mg+Mq)</t>
        </is>
      </c>
      <c r="B6" s="63">
        <f>1.4*ABS(Esforcos!K28)</f>
        <v/>
      </c>
      <c r="C6" s="63">
        <f>1.4*Esforcos!J16</f>
        <v/>
      </c>
    </row>
    <row r="7" ht="15" customHeight="1" s="47">
      <c r="A7" s="54" t="inlineStr">
        <is>
          <t>Kmd = Md/(bw·d²·fcd)</t>
        </is>
      </c>
      <c r="B7" s="64">
        <f>B6/(Dados!$C$6*B5^2*Dados!$C$14*1000)</f>
        <v/>
      </c>
      <c r="C7" s="64">
        <f>C6/(Dados!$C$6*C5^2*Dados!$C$14*1000)</f>
        <v/>
      </c>
    </row>
    <row r="8" ht="15" customHeight="1" s="47">
      <c r="A8" s="54" t="inlineStr">
        <is>
          <t>x/d = 1,25·[1-√(1-2Kmd/0,85)]</t>
        </is>
      </c>
      <c r="B8" s="66">
        <f>1.25*(1-SQRT(1-2*B7/0.85))</f>
        <v/>
      </c>
      <c r="C8" s="66">
        <f>1.25*(1-SQRT(1-2*C7/0.85))</f>
        <v/>
      </c>
    </row>
    <row r="9" ht="15" customHeight="1" s="47">
      <c r="A9" s="54" t="inlineStr">
        <is>
          <t>x</t>
        </is>
      </c>
      <c r="B9" s="66">
        <f>B8*B5</f>
        <v/>
      </c>
      <c r="C9" s="66">
        <f>C8*C5</f>
        <v/>
      </c>
    </row>
    <row r="10" ht="15" customHeight="1" s="47">
      <c r="A10" s="54" t="inlineStr">
        <is>
          <t>As,calc = Md/[fyd·(d-0,4x)]</t>
        </is>
      </c>
      <c r="B10" s="77">
        <f>B6/(Dados!$C$84/Dados!$C$62*1000*(B5-0.4*B9))*10000</f>
        <v/>
      </c>
      <c r="C10" s="77">
        <f>C6/(Dados!$C$84/Dados!$C$62*1000*(C5-0.4*C9))*10000</f>
        <v/>
      </c>
    </row>
    <row r="11" ht="15" customHeight="1" s="47">
      <c r="A11" s="54" t="inlineStr">
        <is>
          <t>Barras adotadas (nº de Ø20)</t>
        </is>
      </c>
      <c r="B11" s="81" t="n">
        <v>8</v>
      </c>
      <c r="C11" s="81" t="n">
        <v>6</v>
      </c>
    </row>
    <row r="12" ht="15" customHeight="1" s="47">
      <c r="A12" s="54" t="inlineStr">
        <is>
          <t>As,adot</t>
        </is>
      </c>
      <c r="B12" s="77">
        <f>B11*3.1416</f>
        <v/>
      </c>
      <c r="C12" s="77">
        <f>C11*3.1416</f>
        <v/>
      </c>
    </row>
    <row r="13" ht="15" customHeight="1" s="47">
      <c r="A13" s="54" t="inlineStr">
        <is>
          <t>Ductilidade x/d ≤ 0,45</t>
        </is>
      </c>
      <c r="B13" s="71">
        <f>IF(B8&lt;=0.45,"OK","NÃO")</f>
        <v/>
      </c>
      <c r="C13" s="71">
        <f>IF(C8&lt;=0.45,"OK","NÃO")</f>
        <v/>
      </c>
    </row>
    <row r="14" ht="15" customHeight="1" s="47">
      <c r="A14" s="54" t="inlineStr">
        <is>
          <t>Momento de fissuração Mr = 1,5·fct,m·Ic/yt</t>
        </is>
      </c>
      <c r="B14" s="63">
        <f>1.5*Dados!$C$15*1000*Dados!$C$9/(Dados!$C$7/2)</f>
        <v/>
      </c>
      <c r="C14" s="63">
        <f>1.5*Dados!$C$15*1000*Dados!$C$9/(Dados!$C$7/2)</f>
        <v/>
      </c>
    </row>
    <row r="15" ht="15" customHeight="1" s="47">
      <c r="A15" s="54" t="inlineStr">
        <is>
          <t>Ma (CF) = |Mg + ψ1·Mq|</t>
        </is>
      </c>
      <c r="B15" s="63">
        <f>ABS(Esforcos!I28)</f>
        <v/>
      </c>
      <c r="C15" s="63">
        <f>Esforcos!H16</f>
        <v/>
      </c>
    </row>
    <row r="16" ht="15" customHeight="1" s="47">
      <c r="A16" s="54" t="inlineStr">
        <is>
          <t>αe = Es/Ecs</t>
        </is>
      </c>
      <c r="B16" s="66">
        <f>Dados!$C$86/Dados!$C$20</f>
        <v/>
      </c>
      <c r="C16" s="66">
        <f>Dados!$C$86/Dados!$C$20</f>
        <v/>
      </c>
    </row>
    <row r="17" ht="15" customHeight="1" s="47">
      <c r="A17" s="54" t="inlineStr">
        <is>
          <t>x_II (estádio II)</t>
        </is>
      </c>
      <c r="B17" s="64">
        <f>(-B16*B12/10000+SQRT((B16*B12/10000)^2+2*Dados!$C$6*B16*B12/10000*B5))/Dados!$C$6</f>
        <v/>
      </c>
      <c r="C17" s="64">
        <f>(-C16*C12/10000+SQRT((C16*C12/10000)^2+2*Dados!$C$6*C16*C12/10000*C5))/Dados!$C$6</f>
        <v/>
      </c>
    </row>
    <row r="18" ht="15" customHeight="1" s="47">
      <c r="A18" s="54" t="inlineStr">
        <is>
          <t>I_II</t>
        </is>
      </c>
      <c r="B18" s="80">
        <f>Dados!$C$6*B17^3/3+B16*B12/10000*(B5-B17)^2</f>
        <v/>
      </c>
      <c r="C18" s="80">
        <f>Dados!$C$6*C17^3/3+C16*C12/10000*(C5-C17)^2</f>
        <v/>
      </c>
    </row>
    <row r="19" ht="15" customHeight="1" s="47">
      <c r="A19" s="54" t="inlineStr">
        <is>
          <t>σs = αe·Ma·(d-x_II)/I_II</t>
        </is>
      </c>
      <c r="B19" s="63">
        <f>B16*B15*(B5-B17)/B18/1000</f>
        <v/>
      </c>
      <c r="C19" s="63">
        <f>C16*C15*(C5-C17)/C18/1000</f>
        <v/>
      </c>
    </row>
    <row r="20" ht="15" customHeight="1" s="47">
      <c r="A20" s="54" t="inlineStr">
        <is>
          <t>ρri = As/Acri</t>
        </is>
      </c>
      <c r="B20" s="64">
        <f>B12/10000/(Dados!$C$6*(0.055+7.5*0.02))</f>
        <v/>
      </c>
      <c r="C20" s="64">
        <f>C12/10000/(Dados!$C$6*(0.055+7.5*0.02))</f>
        <v/>
      </c>
    </row>
    <row r="21" ht="15" customHeight="1" s="47">
      <c r="A21" s="54" t="inlineStr">
        <is>
          <t>wk1 = φ/(12,5η1)·σs/Es·3σs/fct,m</t>
        </is>
      </c>
      <c r="B21" s="66">
        <f>20/(12.5*2.25)*B19/Dados!$C$86*3*B19/Dados!$C$15</f>
        <v/>
      </c>
      <c r="C21" s="66">
        <f>20/(12.5*2.25)*C19/Dados!$C$86*3*C19/Dados!$C$15</f>
        <v/>
      </c>
    </row>
    <row r="22" ht="15" customHeight="1" s="47">
      <c r="A22" s="54" t="inlineStr">
        <is>
          <t>wk2 = φ/(12,5η1)·σs/Es·(4/ρri+45)</t>
        </is>
      </c>
      <c r="B22" s="66">
        <f>20/(12.5*2.25)*B19/Dados!$C$86*(4/B20+45)</f>
        <v/>
      </c>
      <c r="C22" s="66">
        <f>20/(12.5*2.25)*C19/Dados!$C$86*(4/C20+45)</f>
        <v/>
      </c>
    </row>
    <row r="23" ht="15" customHeight="1" s="47">
      <c r="A23" s="54" t="inlineStr">
        <is>
          <t>wk = mín(wk1, wk2)  [mm]  (limite 0,3)</t>
        </is>
      </c>
      <c r="B23" s="82">
        <f>MIN(B21,B22)</f>
        <v/>
      </c>
      <c r="C23" s="82">
        <f>MIN(C21,C22)</f>
        <v/>
      </c>
    </row>
    <row r="24" ht="15" customHeight="1" s="47">
      <c r="A24" s="54" t="inlineStr">
        <is>
          <t>Vsd (CA) = 1,4(Vg+Vq)</t>
        </is>
      </c>
      <c r="B24" s="63">
        <f>1.4*ABS(Esforcos!L28+Esforcos!N28)</f>
        <v/>
      </c>
      <c r="C24" s="63">
        <f>1.4*(Esforcos!L8+Esforcos!M8)</f>
        <v/>
      </c>
    </row>
    <row r="25" ht="15" customHeight="1" s="47">
      <c r="A25" s="54" t="inlineStr">
        <is>
          <t>Vc = 0,6·fctd·bw·d</t>
        </is>
      </c>
      <c r="B25" s="63">
        <f>0.6*Dados!$C$17*1000*Dados!$C$6*B5</f>
        <v/>
      </c>
      <c r="C25" s="63">
        <f>0.6*Dados!$C$17*1000*Dados!$C$6*C5</f>
        <v/>
      </c>
    </row>
    <row r="26" ht="15" customHeight="1" s="47">
      <c r="A26" s="54" t="inlineStr">
        <is>
          <t>asw/s total (2 ramos) = (Vsd-Vc)/(0,9·d·fywd)</t>
        </is>
      </c>
      <c r="B26" s="67">
        <f>MAX(B24-B25,0)/(0.9*B5*Dados!$C$84/Dados!$C$62*1000)*10000</f>
        <v/>
      </c>
      <c r="C26" s="67">
        <f>MAX(C24-C25,0)/(0.9*C5*Dados!$C$84/Dados!$C$62*1000)*10000</f>
        <v/>
      </c>
    </row>
    <row r="27" ht="15" customHeight="1" s="47">
      <c r="A27" s="54" t="inlineStr">
        <is>
          <t>asw,mín total</t>
        </is>
      </c>
      <c r="B27" s="67">
        <f>Dados!$C$90*Dados!$C$6*10000</f>
        <v/>
      </c>
      <c r="C27" s="67">
        <f>Dados!$C$90*Dados!$C$6*10000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K4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46" min="1" max="5"/>
    <col width="12" customWidth="1" style="46" min="6" max="6"/>
    <col width="11" customWidth="1" style="46" min="7" max="10"/>
    <col width="14" customWidth="1" style="46" min="11" max="11"/>
  </cols>
  <sheetData>
    <row r="1" ht="16.15" customHeight="1" s="47">
      <c r="A1" s="59" t="inlineStr">
        <is>
          <t>Concreto armado - flecha (Branson, rigidez variável)</t>
        </is>
      </c>
    </row>
    <row r="2" ht="15" customHeight="1" s="47">
      <c r="A2" s="49" t="inlineStr">
        <is>
          <t>αf = Δξ/(1+50ρ'), Δξ = 2 - 0,68·0,996 (t0 = 1 mês), ρ' = 0 (conservador).</t>
        </is>
      </c>
    </row>
    <row r="3" ht="15" customHeight="1" s="47">
      <c r="J3" s="46" t="inlineStr">
        <is>
          <t>αf =</t>
        </is>
      </c>
      <c r="K3" s="83">
        <f>(2-0.68*0.996)/(1+50*0)</f>
        <v/>
      </c>
    </row>
    <row r="4" ht="15" customHeight="1" s="47">
      <c r="J4" s="46" t="inlineStr">
        <is>
          <t>δ inst. máx (mm)</t>
        </is>
      </c>
      <c r="K4" s="69">
        <f>MAX(J8:J28)</f>
        <v/>
      </c>
    </row>
    <row r="5" ht="15" customHeight="1" s="47">
      <c r="J5" s="46" t="inlineStr">
        <is>
          <t>δ total máx (mm)</t>
        </is>
      </c>
      <c r="K5" s="69">
        <f>MAX(K8:K28)</f>
        <v/>
      </c>
    </row>
    <row r="6" ht="31.5" customHeight="1" s="47">
      <c r="A6" s="60" t="inlineStr">
        <is>
          <t>x</t>
        </is>
      </c>
      <c r="B6" s="60" t="inlineStr">
        <is>
          <t>M_qp = Mg+ψ2Mq</t>
        </is>
      </c>
      <c r="C6" s="60" t="inlineStr">
        <is>
          <t>As (cm²)</t>
        </is>
      </c>
      <c r="D6" s="60" t="inlineStr">
        <is>
          <t>x_II</t>
        </is>
      </c>
      <c r="E6" s="60" t="inlineStr">
        <is>
          <t>I_II</t>
        </is>
      </c>
      <c r="F6" s="60" t="inlineStr">
        <is>
          <t>Ie (Branson)</t>
        </is>
      </c>
      <c r="G6" s="60" t="inlineStr">
        <is>
          <t>κ = -M/(Ecs·Ie)</t>
        </is>
      </c>
      <c r="H6" s="60" t="inlineStr">
        <is>
          <t>θ</t>
        </is>
      </c>
      <c r="I6" s="60" t="inlineStr">
        <is>
          <t>y bruto</t>
        </is>
      </c>
      <c r="J6" s="60" t="inlineStr">
        <is>
          <t>δ inst. (mm)</t>
        </is>
      </c>
      <c r="K6" s="60" t="inlineStr">
        <is>
          <t>δ total = δ·(1+αf) (mm)</t>
        </is>
      </c>
    </row>
    <row r="7" ht="15" customHeight="1" s="47">
      <c r="A7" s="61" t="inlineStr">
        <is>
          <t>m</t>
        </is>
      </c>
      <c r="B7" s="61" t="inlineStr">
        <is>
          <t>kN·m</t>
        </is>
      </c>
      <c r="C7" s="61" t="inlineStr">
        <is>
          <t>cm²</t>
        </is>
      </c>
      <c r="D7" s="61" t="inlineStr">
        <is>
          <t>m</t>
        </is>
      </c>
      <c r="E7" s="61" t="inlineStr">
        <is>
          <t>m⁴</t>
        </is>
      </c>
      <c r="F7" s="61" t="inlineStr">
        <is>
          <t>m⁴</t>
        </is>
      </c>
      <c r="G7" s="61" t="inlineStr">
        <is>
          <t>1/m</t>
        </is>
      </c>
      <c r="H7" s="61" t="inlineStr">
        <is>
          <t>rad</t>
        </is>
      </c>
      <c r="I7" s="61" t="inlineStr">
        <is>
          <t>m</t>
        </is>
      </c>
      <c r="J7" s="61" t="inlineStr">
        <is>
          <t>mm</t>
        </is>
      </c>
      <c r="K7" s="61" t="inlineStr">
        <is>
          <t>mm</t>
        </is>
      </c>
    </row>
    <row r="8" ht="15" customHeight="1" s="47">
      <c r="A8" s="63">
        <f>Tracado_Perdas!B8</f>
        <v/>
      </c>
      <c r="B8" s="63">
        <f>Esforcos!E8+Dados!$C$35*(3*Dados!$C$33*Dados!$C$5*Esforcos!C8/8-Dados!$C$33*Esforcos!C8^2/2)</f>
        <v/>
      </c>
      <c r="C8" s="67">
        <f>IF(B8&gt;=0,CA!$C$12,CA!$B$12)</f>
        <v/>
      </c>
      <c r="D8" s="64">
        <f>(-CA!$B$16*C8/10000+SQRT((CA!$B$16*C8/10000)^2+2*Dados!$C$6*CA!$B$16*C8/10000*CA!$B$5))/Dados!$C$6</f>
        <v/>
      </c>
      <c r="E8" s="80">
        <f>Dados!$C$6*D8^3/3+CA!$B$16*C8/10000*(CA!$B$5-D8)^2</f>
        <v/>
      </c>
      <c r="F8" s="80">
        <f>IF(ABS(B8)&lt;=CA!$B$14,Dados!$C$9,MIN((CA!$B$14/ABS(B8))^3*Dados!$C$9+(1-(CA!$B$14/ABS(B8))^3)*E8,Dados!$C$9))</f>
        <v/>
      </c>
      <c r="G8" s="79">
        <f>-B8/(Dados!$C$20*1000*F8)</f>
        <v/>
      </c>
      <c r="H8" s="80" t="n">
        <v>0</v>
      </c>
      <c r="I8" s="79" t="n">
        <v>0</v>
      </c>
      <c r="J8" s="66">
        <f>(I8-I$28*A8/Dados!$C$5)*1000</f>
        <v/>
      </c>
      <c r="K8" s="66">
        <f>J8*(1+$K$3)</f>
        <v/>
      </c>
    </row>
    <row r="9" ht="15" customHeight="1" s="47">
      <c r="A9" s="63">
        <f>Tracado_Perdas!B9</f>
        <v/>
      </c>
      <c r="B9" s="63">
        <f>Esforcos!E9+Dados!$C$35*(3*Dados!$C$33*Dados!$C$5*Esforcos!C9/8-Dados!$C$33*Esforcos!C9^2/2)</f>
        <v/>
      </c>
      <c r="C9" s="67">
        <f>IF(B9&gt;=0,CA!$C$12,CA!$B$12)</f>
        <v/>
      </c>
      <c r="D9" s="64">
        <f>(-CA!$B$16*C9/10000+SQRT((CA!$B$16*C9/10000)^2+2*Dados!$C$6*CA!$B$16*C9/10000*CA!$B$5))/Dados!$C$6</f>
        <v/>
      </c>
      <c r="E9" s="80">
        <f>Dados!$C$6*D9^3/3+CA!$B$16*C9/10000*(CA!$B$5-D9)^2</f>
        <v/>
      </c>
      <c r="F9" s="80">
        <f>IF(ABS(B9)&lt;=CA!$B$14,Dados!$C$9,MIN((CA!$B$14/ABS(B9))^3*Dados!$C$9+(1-(CA!$B$14/ABS(B9))^3)*E9,Dados!$C$9))</f>
        <v/>
      </c>
      <c r="G9" s="79">
        <f>-B9/(Dados!$C$20*1000*F9)</f>
        <v/>
      </c>
      <c r="H9" s="80">
        <f>H8+0.5*(G9+G8)*(A9-A8)</f>
        <v/>
      </c>
      <c r="I9" s="79">
        <f>I8+0.5*(H9+H8)*(A9-A8)</f>
        <v/>
      </c>
      <c r="J9" s="66">
        <f>(I9-I$28*A9/Dados!$C$5)*1000</f>
        <v/>
      </c>
      <c r="K9" s="66">
        <f>J9*(1+$K$3)</f>
        <v/>
      </c>
    </row>
    <row r="10" ht="15" customHeight="1" s="47">
      <c r="A10" s="63">
        <f>Tracado_Perdas!B10</f>
        <v/>
      </c>
      <c r="B10" s="63">
        <f>Esforcos!E10+Dados!$C$35*(3*Dados!$C$33*Dados!$C$5*Esforcos!C10/8-Dados!$C$33*Esforcos!C10^2/2)</f>
        <v/>
      </c>
      <c r="C10" s="67">
        <f>IF(B10&gt;=0,CA!$C$12,CA!$B$12)</f>
        <v/>
      </c>
      <c r="D10" s="64">
        <f>(-CA!$B$16*C10/10000+SQRT((CA!$B$16*C10/10000)^2+2*Dados!$C$6*CA!$B$16*C10/10000*CA!$B$5))/Dados!$C$6</f>
        <v/>
      </c>
      <c r="E10" s="80">
        <f>Dados!$C$6*D10^3/3+CA!$B$16*C10/10000*(CA!$B$5-D10)^2</f>
        <v/>
      </c>
      <c r="F10" s="80">
        <f>IF(ABS(B10)&lt;=CA!$B$14,Dados!$C$9,MIN((CA!$B$14/ABS(B10))^3*Dados!$C$9+(1-(CA!$B$14/ABS(B10))^3)*E10,Dados!$C$9))</f>
        <v/>
      </c>
      <c r="G10" s="79">
        <f>-B10/(Dados!$C$20*1000*F10)</f>
        <v/>
      </c>
      <c r="H10" s="80">
        <f>H9+0.5*(G10+G9)*(A10-A9)</f>
        <v/>
      </c>
      <c r="I10" s="79">
        <f>I9+0.5*(H10+H9)*(A10-A9)</f>
        <v/>
      </c>
      <c r="J10" s="66">
        <f>(I10-I$28*A10/Dados!$C$5)*1000</f>
        <v/>
      </c>
      <c r="K10" s="66">
        <f>J10*(1+$K$3)</f>
        <v/>
      </c>
    </row>
    <row r="11" ht="15" customHeight="1" s="47">
      <c r="A11" s="63">
        <f>Tracado_Perdas!B11</f>
        <v/>
      </c>
      <c r="B11" s="63">
        <f>Esforcos!E11+Dados!$C$35*(3*Dados!$C$33*Dados!$C$5*Esforcos!C11/8-Dados!$C$33*Esforcos!C11^2/2)</f>
        <v/>
      </c>
      <c r="C11" s="67">
        <f>IF(B11&gt;=0,CA!$C$12,CA!$B$12)</f>
        <v/>
      </c>
      <c r="D11" s="64">
        <f>(-CA!$B$16*C11/10000+SQRT((CA!$B$16*C11/10000)^2+2*Dados!$C$6*CA!$B$16*C11/10000*CA!$B$5))/Dados!$C$6</f>
        <v/>
      </c>
      <c r="E11" s="80">
        <f>Dados!$C$6*D11^3/3+CA!$B$16*C11/10000*(CA!$B$5-D11)^2</f>
        <v/>
      </c>
      <c r="F11" s="80">
        <f>IF(ABS(B11)&lt;=CA!$B$14,Dados!$C$9,MIN((CA!$B$14/ABS(B11))^3*Dados!$C$9+(1-(CA!$B$14/ABS(B11))^3)*E11,Dados!$C$9))</f>
        <v/>
      </c>
      <c r="G11" s="79">
        <f>-B11/(Dados!$C$20*1000*F11)</f>
        <v/>
      </c>
      <c r="H11" s="80">
        <f>H10+0.5*(G11+G10)*(A11-A10)</f>
        <v/>
      </c>
      <c r="I11" s="79">
        <f>I10+0.5*(H11+H10)*(A11-A10)</f>
        <v/>
      </c>
      <c r="J11" s="66">
        <f>(I11-I$28*A11/Dados!$C$5)*1000</f>
        <v/>
      </c>
      <c r="K11" s="66">
        <f>J11*(1+$K$3)</f>
        <v/>
      </c>
    </row>
    <row r="12" ht="15" customHeight="1" s="47">
      <c r="A12" s="63">
        <f>Tracado_Perdas!B12</f>
        <v/>
      </c>
      <c r="B12" s="63">
        <f>Esforcos!E12+Dados!$C$35*(3*Dados!$C$33*Dados!$C$5*Esforcos!C12/8-Dados!$C$33*Esforcos!C12^2/2)</f>
        <v/>
      </c>
      <c r="C12" s="67">
        <f>IF(B12&gt;=0,CA!$C$12,CA!$B$12)</f>
        <v/>
      </c>
      <c r="D12" s="64">
        <f>(-CA!$B$16*C12/10000+SQRT((CA!$B$16*C12/10000)^2+2*Dados!$C$6*CA!$B$16*C12/10000*CA!$B$5))/Dados!$C$6</f>
        <v/>
      </c>
      <c r="E12" s="80">
        <f>Dados!$C$6*D12^3/3+CA!$B$16*C12/10000*(CA!$B$5-D12)^2</f>
        <v/>
      </c>
      <c r="F12" s="80">
        <f>IF(ABS(B12)&lt;=CA!$B$14,Dados!$C$9,MIN((CA!$B$14/ABS(B12))^3*Dados!$C$9+(1-(CA!$B$14/ABS(B12))^3)*E12,Dados!$C$9))</f>
        <v/>
      </c>
      <c r="G12" s="79">
        <f>-B12/(Dados!$C$20*1000*F12)</f>
        <v/>
      </c>
      <c r="H12" s="80">
        <f>H11+0.5*(G12+G11)*(A12-A11)</f>
        <v/>
      </c>
      <c r="I12" s="79">
        <f>I11+0.5*(H12+H11)*(A12-A11)</f>
        <v/>
      </c>
      <c r="J12" s="66">
        <f>(I12-I$28*A12/Dados!$C$5)*1000</f>
        <v/>
      </c>
      <c r="K12" s="66">
        <f>J12*(1+$K$3)</f>
        <v/>
      </c>
    </row>
    <row r="13" ht="15" customHeight="1" s="47">
      <c r="A13" s="63">
        <f>Tracado_Perdas!B13</f>
        <v/>
      </c>
      <c r="B13" s="63">
        <f>Esforcos!E13+Dados!$C$35*(3*Dados!$C$33*Dados!$C$5*Esforcos!C13/8-Dados!$C$33*Esforcos!C13^2/2)</f>
        <v/>
      </c>
      <c r="C13" s="67">
        <f>IF(B13&gt;=0,CA!$C$12,CA!$B$12)</f>
        <v/>
      </c>
      <c r="D13" s="64">
        <f>(-CA!$B$16*C13/10000+SQRT((CA!$B$16*C13/10000)^2+2*Dados!$C$6*CA!$B$16*C13/10000*CA!$B$5))/Dados!$C$6</f>
        <v/>
      </c>
      <c r="E13" s="80">
        <f>Dados!$C$6*D13^3/3+CA!$B$16*C13/10000*(CA!$B$5-D13)^2</f>
        <v/>
      </c>
      <c r="F13" s="80">
        <f>IF(ABS(B13)&lt;=CA!$B$14,Dados!$C$9,MIN((CA!$B$14/ABS(B13))^3*Dados!$C$9+(1-(CA!$B$14/ABS(B13))^3)*E13,Dados!$C$9))</f>
        <v/>
      </c>
      <c r="G13" s="79">
        <f>-B13/(Dados!$C$20*1000*F13)</f>
        <v/>
      </c>
      <c r="H13" s="80">
        <f>H12+0.5*(G13+G12)*(A13-A12)</f>
        <v/>
      </c>
      <c r="I13" s="79">
        <f>I12+0.5*(H13+H12)*(A13-A12)</f>
        <v/>
      </c>
      <c r="J13" s="66">
        <f>(I13-I$28*A13/Dados!$C$5)*1000</f>
        <v/>
      </c>
      <c r="K13" s="66">
        <f>J13*(1+$K$3)</f>
        <v/>
      </c>
    </row>
    <row r="14" ht="15" customHeight="1" s="47">
      <c r="A14" s="63">
        <f>Tracado_Perdas!B14</f>
        <v/>
      </c>
      <c r="B14" s="63">
        <f>Esforcos!E14+Dados!$C$35*(3*Dados!$C$33*Dados!$C$5*Esforcos!C14/8-Dados!$C$33*Esforcos!C14^2/2)</f>
        <v/>
      </c>
      <c r="C14" s="67">
        <f>IF(B14&gt;=0,CA!$C$12,CA!$B$12)</f>
        <v/>
      </c>
      <c r="D14" s="64">
        <f>(-CA!$B$16*C14/10000+SQRT((CA!$B$16*C14/10000)^2+2*Dados!$C$6*CA!$B$16*C14/10000*CA!$B$5))/Dados!$C$6</f>
        <v/>
      </c>
      <c r="E14" s="80">
        <f>Dados!$C$6*D14^3/3+CA!$B$16*C14/10000*(CA!$B$5-D14)^2</f>
        <v/>
      </c>
      <c r="F14" s="80">
        <f>IF(ABS(B14)&lt;=CA!$B$14,Dados!$C$9,MIN((CA!$B$14/ABS(B14))^3*Dados!$C$9+(1-(CA!$B$14/ABS(B14))^3)*E14,Dados!$C$9))</f>
        <v/>
      </c>
      <c r="G14" s="79">
        <f>-B14/(Dados!$C$20*1000*F14)</f>
        <v/>
      </c>
      <c r="H14" s="80">
        <f>H13+0.5*(G14+G13)*(A14-A13)</f>
        <v/>
      </c>
      <c r="I14" s="79">
        <f>I13+0.5*(H14+H13)*(A14-A13)</f>
        <v/>
      </c>
      <c r="J14" s="66">
        <f>(I14-I$28*A14/Dados!$C$5)*1000</f>
        <v/>
      </c>
      <c r="K14" s="66">
        <f>J14*(1+$K$3)</f>
        <v/>
      </c>
    </row>
    <row r="15" ht="15" customHeight="1" s="47">
      <c r="A15" s="63">
        <f>Tracado_Perdas!B15</f>
        <v/>
      </c>
      <c r="B15" s="63">
        <f>Esforcos!E15+Dados!$C$35*(3*Dados!$C$33*Dados!$C$5*Esforcos!C15/8-Dados!$C$33*Esforcos!C15^2/2)</f>
        <v/>
      </c>
      <c r="C15" s="67">
        <f>IF(B15&gt;=0,CA!$C$12,CA!$B$12)</f>
        <v/>
      </c>
      <c r="D15" s="64">
        <f>(-CA!$B$16*C15/10000+SQRT((CA!$B$16*C15/10000)^2+2*Dados!$C$6*CA!$B$16*C15/10000*CA!$B$5))/Dados!$C$6</f>
        <v/>
      </c>
      <c r="E15" s="80">
        <f>Dados!$C$6*D15^3/3+CA!$B$16*C15/10000*(CA!$B$5-D15)^2</f>
        <v/>
      </c>
      <c r="F15" s="80">
        <f>IF(ABS(B15)&lt;=CA!$B$14,Dados!$C$9,MIN((CA!$B$14/ABS(B15))^3*Dados!$C$9+(1-(CA!$B$14/ABS(B15))^3)*E15,Dados!$C$9))</f>
        <v/>
      </c>
      <c r="G15" s="79">
        <f>-B15/(Dados!$C$20*1000*F15)</f>
        <v/>
      </c>
      <c r="H15" s="80">
        <f>H14+0.5*(G15+G14)*(A15-A14)</f>
        <v/>
      </c>
      <c r="I15" s="79">
        <f>I14+0.5*(H15+H14)*(A15-A14)</f>
        <v/>
      </c>
      <c r="J15" s="66">
        <f>(I15-I$28*A15/Dados!$C$5)*1000</f>
        <v/>
      </c>
      <c r="K15" s="66">
        <f>J15*(1+$K$3)</f>
        <v/>
      </c>
    </row>
    <row r="16" ht="15" customHeight="1" s="47">
      <c r="A16" s="63">
        <f>Tracado_Perdas!B16</f>
        <v/>
      </c>
      <c r="B16" s="63">
        <f>Esforcos!E16+Dados!$C$35*(3*Dados!$C$33*Dados!$C$5*Esforcos!C16/8-Dados!$C$33*Esforcos!C16^2/2)</f>
        <v/>
      </c>
      <c r="C16" s="67">
        <f>IF(B16&gt;=0,CA!$C$12,CA!$B$12)</f>
        <v/>
      </c>
      <c r="D16" s="64">
        <f>(-CA!$B$16*C16/10000+SQRT((CA!$B$16*C16/10000)^2+2*Dados!$C$6*CA!$B$16*C16/10000*CA!$B$5))/Dados!$C$6</f>
        <v/>
      </c>
      <c r="E16" s="80">
        <f>Dados!$C$6*D16^3/3+CA!$B$16*C16/10000*(CA!$B$5-D16)^2</f>
        <v/>
      </c>
      <c r="F16" s="80">
        <f>IF(ABS(B16)&lt;=CA!$B$14,Dados!$C$9,MIN((CA!$B$14/ABS(B16))^3*Dados!$C$9+(1-(CA!$B$14/ABS(B16))^3)*E16,Dados!$C$9))</f>
        <v/>
      </c>
      <c r="G16" s="79">
        <f>-B16/(Dados!$C$20*1000*F16)</f>
        <v/>
      </c>
      <c r="H16" s="80">
        <f>H15+0.5*(G16+G15)*(A16-A15)</f>
        <v/>
      </c>
      <c r="I16" s="79">
        <f>I15+0.5*(H16+H15)*(A16-A15)</f>
        <v/>
      </c>
      <c r="J16" s="66">
        <f>(I16-I$28*A16/Dados!$C$5)*1000</f>
        <v/>
      </c>
      <c r="K16" s="66">
        <f>J16*(1+$K$3)</f>
        <v/>
      </c>
    </row>
    <row r="17" ht="15" customHeight="1" s="47">
      <c r="A17" s="63">
        <f>Tracado_Perdas!B17</f>
        <v/>
      </c>
      <c r="B17" s="63">
        <f>Esforcos!E17+Dados!$C$35*(3*Dados!$C$33*Dados!$C$5*Esforcos!C17/8-Dados!$C$33*Esforcos!C17^2/2)</f>
        <v/>
      </c>
      <c r="C17" s="67">
        <f>IF(B17&gt;=0,CA!$C$12,CA!$B$12)</f>
        <v/>
      </c>
      <c r="D17" s="64">
        <f>(-CA!$B$16*C17/10000+SQRT((CA!$B$16*C17/10000)^2+2*Dados!$C$6*CA!$B$16*C17/10000*CA!$B$5))/Dados!$C$6</f>
        <v/>
      </c>
      <c r="E17" s="80">
        <f>Dados!$C$6*D17^3/3+CA!$B$16*C17/10000*(CA!$B$5-D17)^2</f>
        <v/>
      </c>
      <c r="F17" s="80">
        <f>IF(ABS(B17)&lt;=CA!$B$14,Dados!$C$9,MIN((CA!$B$14/ABS(B17))^3*Dados!$C$9+(1-(CA!$B$14/ABS(B17))^3)*E17,Dados!$C$9))</f>
        <v/>
      </c>
      <c r="G17" s="79">
        <f>-B17/(Dados!$C$20*1000*F17)</f>
        <v/>
      </c>
      <c r="H17" s="80">
        <f>H16+0.5*(G17+G16)*(A17-A16)</f>
        <v/>
      </c>
      <c r="I17" s="79">
        <f>I16+0.5*(H17+H16)*(A17-A16)</f>
        <v/>
      </c>
      <c r="J17" s="66">
        <f>(I17-I$28*A17/Dados!$C$5)*1000</f>
        <v/>
      </c>
      <c r="K17" s="66">
        <f>J17*(1+$K$3)</f>
        <v/>
      </c>
    </row>
    <row r="18" ht="15" customHeight="1" s="47">
      <c r="A18" s="63">
        <f>Tracado_Perdas!B18</f>
        <v/>
      </c>
      <c r="B18" s="63">
        <f>Esforcos!E18+Dados!$C$35*(3*Dados!$C$33*Dados!$C$5*Esforcos!C18/8-Dados!$C$33*Esforcos!C18^2/2)</f>
        <v/>
      </c>
      <c r="C18" s="67">
        <f>IF(B18&gt;=0,CA!$C$12,CA!$B$12)</f>
        <v/>
      </c>
      <c r="D18" s="64">
        <f>(-CA!$B$16*C18/10000+SQRT((CA!$B$16*C18/10000)^2+2*Dados!$C$6*CA!$B$16*C18/10000*CA!$B$5))/Dados!$C$6</f>
        <v/>
      </c>
      <c r="E18" s="80">
        <f>Dados!$C$6*D18^3/3+CA!$B$16*C18/10000*(CA!$B$5-D18)^2</f>
        <v/>
      </c>
      <c r="F18" s="80">
        <f>IF(ABS(B18)&lt;=CA!$B$14,Dados!$C$9,MIN((CA!$B$14/ABS(B18))^3*Dados!$C$9+(1-(CA!$B$14/ABS(B18))^3)*E18,Dados!$C$9))</f>
        <v/>
      </c>
      <c r="G18" s="79">
        <f>-B18/(Dados!$C$20*1000*F18)</f>
        <v/>
      </c>
      <c r="H18" s="80">
        <f>H17+0.5*(G18+G17)*(A18-A17)</f>
        <v/>
      </c>
      <c r="I18" s="79">
        <f>I17+0.5*(H18+H17)*(A18-A17)</f>
        <v/>
      </c>
      <c r="J18" s="66">
        <f>(I18-I$28*A18/Dados!$C$5)*1000</f>
        <v/>
      </c>
      <c r="K18" s="66">
        <f>J18*(1+$K$3)</f>
        <v/>
      </c>
    </row>
    <row r="19" ht="15" customHeight="1" s="47">
      <c r="A19" s="63">
        <f>Tracado_Perdas!B19</f>
        <v/>
      </c>
      <c r="B19" s="63">
        <f>Esforcos!E19+Dados!$C$35*(3*Dados!$C$33*Dados!$C$5*Esforcos!C19/8-Dados!$C$33*Esforcos!C19^2/2)</f>
        <v/>
      </c>
      <c r="C19" s="67">
        <f>IF(B19&gt;=0,CA!$C$12,CA!$B$12)</f>
        <v/>
      </c>
      <c r="D19" s="64">
        <f>(-CA!$B$16*C19/10000+SQRT((CA!$B$16*C19/10000)^2+2*Dados!$C$6*CA!$B$16*C19/10000*CA!$B$5))/Dados!$C$6</f>
        <v/>
      </c>
      <c r="E19" s="80">
        <f>Dados!$C$6*D19^3/3+CA!$B$16*C19/10000*(CA!$B$5-D19)^2</f>
        <v/>
      </c>
      <c r="F19" s="80">
        <f>IF(ABS(B19)&lt;=CA!$B$14,Dados!$C$9,MIN((CA!$B$14/ABS(B19))^3*Dados!$C$9+(1-(CA!$B$14/ABS(B19))^3)*E19,Dados!$C$9))</f>
        <v/>
      </c>
      <c r="G19" s="79">
        <f>-B19/(Dados!$C$20*1000*F19)</f>
        <v/>
      </c>
      <c r="H19" s="80">
        <f>H18+0.5*(G19+G18)*(A19-A18)</f>
        <v/>
      </c>
      <c r="I19" s="79">
        <f>I18+0.5*(H19+H18)*(A19-A18)</f>
        <v/>
      </c>
      <c r="J19" s="66">
        <f>(I19-I$28*A19/Dados!$C$5)*1000</f>
        <v/>
      </c>
      <c r="K19" s="66">
        <f>J19*(1+$K$3)</f>
        <v/>
      </c>
    </row>
    <row r="20" ht="15" customHeight="1" s="47">
      <c r="A20" s="63">
        <f>Tracado_Perdas!B20</f>
        <v/>
      </c>
      <c r="B20" s="63">
        <f>Esforcos!E20+Dados!$C$35*(3*Dados!$C$33*Dados!$C$5*Esforcos!C20/8-Dados!$C$33*Esforcos!C20^2/2)</f>
        <v/>
      </c>
      <c r="C20" s="67">
        <f>IF(B20&gt;=0,CA!$C$12,CA!$B$12)</f>
        <v/>
      </c>
      <c r="D20" s="64">
        <f>(-CA!$B$16*C20/10000+SQRT((CA!$B$16*C20/10000)^2+2*Dados!$C$6*CA!$B$16*C20/10000*CA!$B$5))/Dados!$C$6</f>
        <v/>
      </c>
      <c r="E20" s="80">
        <f>Dados!$C$6*D20^3/3+CA!$B$16*C20/10000*(CA!$B$5-D20)^2</f>
        <v/>
      </c>
      <c r="F20" s="80">
        <f>IF(ABS(B20)&lt;=CA!$B$14,Dados!$C$9,MIN((CA!$B$14/ABS(B20))^3*Dados!$C$9+(1-(CA!$B$14/ABS(B20))^3)*E20,Dados!$C$9))</f>
        <v/>
      </c>
      <c r="G20" s="79">
        <f>-B20/(Dados!$C$20*1000*F20)</f>
        <v/>
      </c>
      <c r="H20" s="80">
        <f>H19+0.5*(G20+G19)*(A20-A19)</f>
        <v/>
      </c>
      <c r="I20" s="79">
        <f>I19+0.5*(H20+H19)*(A20-A19)</f>
        <v/>
      </c>
      <c r="J20" s="66">
        <f>(I20-I$28*A20/Dados!$C$5)*1000</f>
        <v/>
      </c>
      <c r="K20" s="66">
        <f>J20*(1+$K$3)</f>
        <v/>
      </c>
    </row>
    <row r="21" ht="15" customHeight="1" s="47">
      <c r="A21" s="63">
        <f>Tracado_Perdas!B21</f>
        <v/>
      </c>
      <c r="B21" s="63">
        <f>Esforcos!E21+Dados!$C$35*(3*Dados!$C$33*Dados!$C$5*Esforcos!C21/8-Dados!$C$33*Esforcos!C21^2/2)</f>
        <v/>
      </c>
      <c r="C21" s="67">
        <f>IF(B21&gt;=0,CA!$C$12,CA!$B$12)</f>
        <v/>
      </c>
      <c r="D21" s="64">
        <f>(-CA!$B$16*C21/10000+SQRT((CA!$B$16*C21/10000)^2+2*Dados!$C$6*CA!$B$16*C21/10000*CA!$B$5))/Dados!$C$6</f>
        <v/>
      </c>
      <c r="E21" s="80">
        <f>Dados!$C$6*D21^3/3+CA!$B$16*C21/10000*(CA!$B$5-D21)^2</f>
        <v/>
      </c>
      <c r="F21" s="80">
        <f>IF(ABS(B21)&lt;=CA!$B$14,Dados!$C$9,MIN((CA!$B$14/ABS(B21))^3*Dados!$C$9+(1-(CA!$B$14/ABS(B21))^3)*E21,Dados!$C$9))</f>
        <v/>
      </c>
      <c r="G21" s="79">
        <f>-B21/(Dados!$C$20*1000*F21)</f>
        <v/>
      </c>
      <c r="H21" s="80">
        <f>H20+0.5*(G21+G20)*(A21-A20)</f>
        <v/>
      </c>
      <c r="I21" s="79">
        <f>I20+0.5*(H21+H20)*(A21-A20)</f>
        <v/>
      </c>
      <c r="J21" s="66">
        <f>(I21-I$28*A21/Dados!$C$5)*1000</f>
        <v/>
      </c>
      <c r="K21" s="66">
        <f>J21*(1+$K$3)</f>
        <v/>
      </c>
    </row>
    <row r="22" ht="15" customHeight="1" s="47">
      <c r="A22" s="63">
        <f>Tracado_Perdas!B22</f>
        <v/>
      </c>
      <c r="B22" s="63">
        <f>Esforcos!E22+Dados!$C$35*(3*Dados!$C$33*Dados!$C$5*Esforcos!C22/8-Dados!$C$33*Esforcos!C22^2/2)</f>
        <v/>
      </c>
      <c r="C22" s="67">
        <f>IF(B22&gt;=0,CA!$C$12,CA!$B$12)</f>
        <v/>
      </c>
      <c r="D22" s="64">
        <f>(-CA!$B$16*C22/10000+SQRT((CA!$B$16*C22/10000)^2+2*Dados!$C$6*CA!$B$16*C22/10000*CA!$B$5))/Dados!$C$6</f>
        <v/>
      </c>
      <c r="E22" s="80">
        <f>Dados!$C$6*D22^3/3+CA!$B$16*C22/10000*(CA!$B$5-D22)^2</f>
        <v/>
      </c>
      <c r="F22" s="80">
        <f>IF(ABS(B22)&lt;=CA!$B$14,Dados!$C$9,MIN((CA!$B$14/ABS(B22))^3*Dados!$C$9+(1-(CA!$B$14/ABS(B22))^3)*E22,Dados!$C$9))</f>
        <v/>
      </c>
      <c r="G22" s="79">
        <f>-B22/(Dados!$C$20*1000*F22)</f>
        <v/>
      </c>
      <c r="H22" s="80">
        <f>H21+0.5*(G22+G21)*(A22-A21)</f>
        <v/>
      </c>
      <c r="I22" s="79">
        <f>I21+0.5*(H22+H21)*(A22-A21)</f>
        <v/>
      </c>
      <c r="J22" s="66">
        <f>(I22-I$28*A22/Dados!$C$5)*1000</f>
        <v/>
      </c>
      <c r="K22" s="66">
        <f>J22*(1+$K$3)</f>
        <v/>
      </c>
    </row>
    <row r="23" ht="15" customHeight="1" s="47">
      <c r="A23" s="63">
        <f>Tracado_Perdas!B23</f>
        <v/>
      </c>
      <c r="B23" s="63">
        <f>Esforcos!E23+Dados!$C$35*(3*Dados!$C$33*Dados!$C$5*Esforcos!C23/8-Dados!$C$33*Esforcos!C23^2/2)</f>
        <v/>
      </c>
      <c r="C23" s="67">
        <f>IF(B23&gt;=0,CA!$C$12,CA!$B$12)</f>
        <v/>
      </c>
      <c r="D23" s="64">
        <f>(-CA!$B$16*C23/10000+SQRT((CA!$B$16*C23/10000)^2+2*Dados!$C$6*CA!$B$16*C23/10000*CA!$B$5))/Dados!$C$6</f>
        <v/>
      </c>
      <c r="E23" s="80">
        <f>Dados!$C$6*D23^3/3+CA!$B$16*C23/10000*(CA!$B$5-D23)^2</f>
        <v/>
      </c>
      <c r="F23" s="80">
        <f>IF(ABS(B23)&lt;=CA!$B$14,Dados!$C$9,MIN((CA!$B$14/ABS(B23))^3*Dados!$C$9+(1-(CA!$B$14/ABS(B23))^3)*E23,Dados!$C$9))</f>
        <v/>
      </c>
      <c r="G23" s="79">
        <f>-B23/(Dados!$C$20*1000*F23)</f>
        <v/>
      </c>
      <c r="H23" s="80">
        <f>H22+0.5*(G23+G22)*(A23-A22)</f>
        <v/>
      </c>
      <c r="I23" s="79">
        <f>I22+0.5*(H23+H22)*(A23-A22)</f>
        <v/>
      </c>
      <c r="J23" s="66">
        <f>(I23-I$28*A23/Dados!$C$5)*1000</f>
        <v/>
      </c>
      <c r="K23" s="66">
        <f>J23*(1+$K$3)</f>
        <v/>
      </c>
    </row>
    <row r="24" ht="15" customHeight="1" s="47">
      <c r="A24" s="63">
        <f>Tracado_Perdas!B24</f>
        <v/>
      </c>
      <c r="B24" s="63">
        <f>Esforcos!E24+Dados!$C$35*(3*Dados!$C$33*Dados!$C$5*Esforcos!C24/8-Dados!$C$33*Esforcos!C24^2/2)</f>
        <v/>
      </c>
      <c r="C24" s="67">
        <f>IF(B24&gt;=0,CA!$C$12,CA!$B$12)</f>
        <v/>
      </c>
      <c r="D24" s="64">
        <f>(-CA!$B$16*C24/10000+SQRT((CA!$B$16*C24/10000)^2+2*Dados!$C$6*CA!$B$16*C24/10000*CA!$B$5))/Dados!$C$6</f>
        <v/>
      </c>
      <c r="E24" s="80">
        <f>Dados!$C$6*D24^3/3+CA!$B$16*C24/10000*(CA!$B$5-D24)^2</f>
        <v/>
      </c>
      <c r="F24" s="80">
        <f>IF(ABS(B24)&lt;=CA!$B$14,Dados!$C$9,MIN((CA!$B$14/ABS(B24))^3*Dados!$C$9+(1-(CA!$B$14/ABS(B24))^3)*E24,Dados!$C$9))</f>
        <v/>
      </c>
      <c r="G24" s="79">
        <f>-B24/(Dados!$C$20*1000*F24)</f>
        <v/>
      </c>
      <c r="H24" s="80">
        <f>H23+0.5*(G24+G23)*(A24-A23)</f>
        <v/>
      </c>
      <c r="I24" s="79">
        <f>I23+0.5*(H24+H23)*(A24-A23)</f>
        <v/>
      </c>
      <c r="J24" s="66">
        <f>(I24-I$28*A24/Dados!$C$5)*1000</f>
        <v/>
      </c>
      <c r="K24" s="66">
        <f>J24*(1+$K$3)</f>
        <v/>
      </c>
    </row>
    <row r="25" ht="15" customHeight="1" s="47">
      <c r="A25" s="63">
        <f>Tracado_Perdas!B25</f>
        <v/>
      </c>
      <c r="B25" s="63">
        <f>Esforcos!E25+Dados!$C$35*(3*Dados!$C$33*Dados!$C$5*Esforcos!C25/8-Dados!$C$33*Esforcos!C25^2/2)</f>
        <v/>
      </c>
      <c r="C25" s="67">
        <f>IF(B25&gt;=0,CA!$C$12,CA!$B$12)</f>
        <v/>
      </c>
      <c r="D25" s="64">
        <f>(-CA!$B$16*C25/10000+SQRT((CA!$B$16*C25/10000)^2+2*Dados!$C$6*CA!$B$16*C25/10000*CA!$B$5))/Dados!$C$6</f>
        <v/>
      </c>
      <c r="E25" s="80">
        <f>Dados!$C$6*D25^3/3+CA!$B$16*C25/10000*(CA!$B$5-D25)^2</f>
        <v/>
      </c>
      <c r="F25" s="80">
        <f>IF(ABS(B25)&lt;=CA!$B$14,Dados!$C$9,MIN((CA!$B$14/ABS(B25))^3*Dados!$C$9+(1-(CA!$B$14/ABS(B25))^3)*E25,Dados!$C$9))</f>
        <v/>
      </c>
      <c r="G25" s="79">
        <f>-B25/(Dados!$C$20*1000*F25)</f>
        <v/>
      </c>
      <c r="H25" s="80">
        <f>H24+0.5*(G25+G24)*(A25-A24)</f>
        <v/>
      </c>
      <c r="I25" s="79">
        <f>I24+0.5*(H25+H24)*(A25-A24)</f>
        <v/>
      </c>
      <c r="J25" s="66">
        <f>(I25-I$28*A25/Dados!$C$5)*1000</f>
        <v/>
      </c>
      <c r="K25" s="66">
        <f>J25*(1+$K$3)</f>
        <v/>
      </c>
    </row>
    <row r="26" ht="15" customHeight="1" s="47">
      <c r="A26" s="63">
        <f>Tracado_Perdas!B26</f>
        <v/>
      </c>
      <c r="B26" s="63">
        <f>Esforcos!E26+Dados!$C$35*(3*Dados!$C$33*Dados!$C$5*Esforcos!C26/8-Dados!$C$33*Esforcos!C26^2/2)</f>
        <v/>
      </c>
      <c r="C26" s="67">
        <f>IF(B26&gt;=0,CA!$C$12,CA!$B$12)</f>
        <v/>
      </c>
      <c r="D26" s="64">
        <f>(-CA!$B$16*C26/10000+SQRT((CA!$B$16*C26/10000)^2+2*Dados!$C$6*CA!$B$16*C26/10000*CA!$B$5))/Dados!$C$6</f>
        <v/>
      </c>
      <c r="E26" s="80">
        <f>Dados!$C$6*D26^3/3+CA!$B$16*C26/10000*(CA!$B$5-D26)^2</f>
        <v/>
      </c>
      <c r="F26" s="80">
        <f>IF(ABS(B26)&lt;=CA!$B$14,Dados!$C$9,MIN((CA!$B$14/ABS(B26))^3*Dados!$C$9+(1-(CA!$B$14/ABS(B26))^3)*E26,Dados!$C$9))</f>
        <v/>
      </c>
      <c r="G26" s="79">
        <f>-B26/(Dados!$C$20*1000*F26)</f>
        <v/>
      </c>
      <c r="H26" s="80">
        <f>H25+0.5*(G26+G25)*(A26-A25)</f>
        <v/>
      </c>
      <c r="I26" s="79">
        <f>I25+0.5*(H26+H25)*(A26-A25)</f>
        <v/>
      </c>
      <c r="J26" s="66">
        <f>(I26-I$28*A26/Dados!$C$5)*1000</f>
        <v/>
      </c>
      <c r="K26" s="66">
        <f>J26*(1+$K$3)</f>
        <v/>
      </c>
    </row>
    <row r="27" ht="15" customHeight="1" s="47">
      <c r="A27" s="63">
        <f>Tracado_Perdas!B27</f>
        <v/>
      </c>
      <c r="B27" s="63">
        <f>Esforcos!E27+Dados!$C$35*(3*Dados!$C$33*Dados!$C$5*Esforcos!C27/8-Dados!$C$33*Esforcos!C27^2/2)</f>
        <v/>
      </c>
      <c r="C27" s="67">
        <f>IF(B27&gt;=0,CA!$C$12,CA!$B$12)</f>
        <v/>
      </c>
      <c r="D27" s="64">
        <f>(-CA!$B$16*C27/10000+SQRT((CA!$B$16*C27/10000)^2+2*Dados!$C$6*CA!$B$16*C27/10000*CA!$B$5))/Dados!$C$6</f>
        <v/>
      </c>
      <c r="E27" s="80">
        <f>Dados!$C$6*D27^3/3+CA!$B$16*C27/10000*(CA!$B$5-D27)^2</f>
        <v/>
      </c>
      <c r="F27" s="80">
        <f>IF(ABS(B27)&lt;=CA!$B$14,Dados!$C$9,MIN((CA!$B$14/ABS(B27))^3*Dados!$C$9+(1-(CA!$B$14/ABS(B27))^3)*E27,Dados!$C$9))</f>
        <v/>
      </c>
      <c r="G27" s="79">
        <f>-B27/(Dados!$C$20*1000*F27)</f>
        <v/>
      </c>
      <c r="H27" s="80">
        <f>H26+0.5*(G27+G26)*(A27-A26)</f>
        <v/>
      </c>
      <c r="I27" s="79">
        <f>I26+0.5*(H27+H26)*(A27-A26)</f>
        <v/>
      </c>
      <c r="J27" s="66">
        <f>(I27-I$28*A27/Dados!$C$5)*1000</f>
        <v/>
      </c>
      <c r="K27" s="66">
        <f>J27*(1+$K$3)</f>
        <v/>
      </c>
    </row>
    <row r="28" ht="15" customHeight="1" s="47">
      <c r="A28" s="63">
        <f>Tracado_Perdas!B28</f>
        <v/>
      </c>
      <c r="B28" s="63">
        <f>Esforcos!E28+Dados!$C$35*(3*Dados!$C$33*Dados!$C$5*Esforcos!C28/8-Dados!$C$33*Esforcos!C28^2/2)</f>
        <v/>
      </c>
      <c r="C28" s="67">
        <f>IF(B28&gt;=0,CA!$C$12,CA!$B$12)</f>
        <v/>
      </c>
      <c r="D28" s="64">
        <f>(-CA!$B$16*C28/10000+SQRT((CA!$B$16*C28/10000)^2+2*Dados!$C$6*CA!$B$16*C28/10000*CA!$B$5))/Dados!$C$6</f>
        <v/>
      </c>
      <c r="E28" s="80">
        <f>Dados!$C$6*D28^3/3+CA!$B$16*C28/10000*(CA!$B$5-D28)^2</f>
        <v/>
      </c>
      <c r="F28" s="80">
        <f>IF(ABS(B28)&lt;=CA!$B$14,Dados!$C$9,MIN((CA!$B$14/ABS(B28))^3*Dados!$C$9+(1-(CA!$B$14/ABS(B28))^3)*E28,Dados!$C$9))</f>
        <v/>
      </c>
      <c r="G28" s="79">
        <f>-B28/(Dados!$C$20*1000*F28)</f>
        <v/>
      </c>
      <c r="H28" s="80">
        <f>H27+0.5*(G28+G27)*(A28-A27)</f>
        <v/>
      </c>
      <c r="I28" s="79">
        <f>I27+0.5*(H28+H27)*(A28-A27)</f>
        <v/>
      </c>
      <c r="J28" s="66">
        <f>(I28-I$28*A28/Dados!$C$5)*1000</f>
        <v/>
      </c>
      <c r="K28" s="66">
        <f>J28*(1+$K$3)</f>
        <v/>
      </c>
    </row>
    <row r="29" ht="15" customHeight="1" s="47">
      <c r="A29" s="63">
        <f>Tracado_Perdas!B29</f>
        <v/>
      </c>
      <c r="B29" s="63">
        <f>Esforcos!E29+Dados!$C$35*(3*Dados!$C$33*Dados!$C$5*Esforcos!C29/8-Dados!$C$33*Esforcos!C29^2/2)</f>
        <v/>
      </c>
      <c r="C29" s="67">
        <f>IF(B29&gt;=0,CA!$C$12,CA!$B$12)</f>
        <v/>
      </c>
      <c r="D29" s="64">
        <f>(-CA!$B$16*C29/10000+SQRT((CA!$B$16*C29/10000)^2+2*Dados!$C$6*CA!$B$16*C29/10000*CA!$B$5))/Dados!$C$6</f>
        <v/>
      </c>
      <c r="E29" s="80">
        <f>Dados!$C$6*D29^3/3+CA!$B$16*C29/10000*(CA!$B$5-D29)^2</f>
        <v/>
      </c>
      <c r="F29" s="80">
        <f>IF(ABS(B29)&lt;=CA!$B$14,Dados!$C$9,MIN((CA!$B$14/ABS(B29))^3*Dados!$C$9+(1-(CA!$B$14/ABS(B29))^3)*E29,Dados!$C$9))</f>
        <v/>
      </c>
      <c r="G29" s="79">
        <f>-B29/(Dados!$C$20*1000*F29)</f>
        <v/>
      </c>
      <c r="H29" s="80">
        <f>H28+0.5*(G29+G28)*(A29-A28)</f>
        <v/>
      </c>
      <c r="I29" s="79">
        <f>I28+0.5*(H29+H28)*(A29-A28)</f>
        <v/>
      </c>
      <c r="J29" s="66">
        <f>(I29-I$28*A29/Dados!$C$5)*1000</f>
        <v/>
      </c>
      <c r="K29" s="66">
        <f>J29*(1+$K$3)</f>
        <v/>
      </c>
    </row>
    <row r="30" ht="15" customHeight="1" s="47">
      <c r="A30" s="63">
        <f>Tracado_Perdas!B30</f>
        <v/>
      </c>
      <c r="B30" s="63">
        <f>Esforcos!E30+Dados!$C$35*(3*Dados!$C$33*Dados!$C$5*Esforcos!C30/8-Dados!$C$33*Esforcos!C30^2/2)</f>
        <v/>
      </c>
      <c r="C30" s="67">
        <f>IF(B30&gt;=0,CA!$C$12,CA!$B$12)</f>
        <v/>
      </c>
      <c r="D30" s="64">
        <f>(-CA!$B$16*C30/10000+SQRT((CA!$B$16*C30/10000)^2+2*Dados!$C$6*CA!$B$16*C30/10000*CA!$B$5))/Dados!$C$6</f>
        <v/>
      </c>
      <c r="E30" s="80">
        <f>Dados!$C$6*D30^3/3+CA!$B$16*C30/10000*(CA!$B$5-D30)^2</f>
        <v/>
      </c>
      <c r="F30" s="80">
        <f>IF(ABS(B30)&lt;=CA!$B$14,Dados!$C$9,MIN((CA!$B$14/ABS(B30))^3*Dados!$C$9+(1-(CA!$B$14/ABS(B30))^3)*E30,Dados!$C$9))</f>
        <v/>
      </c>
      <c r="G30" s="79">
        <f>-B30/(Dados!$C$20*1000*F30)</f>
        <v/>
      </c>
      <c r="H30" s="80">
        <f>H29+0.5*(G30+G29)*(A30-A29)</f>
        <v/>
      </c>
      <c r="I30" s="79">
        <f>I29+0.5*(H30+H29)*(A30-A29)</f>
        <v/>
      </c>
      <c r="J30" s="66">
        <f>(I30-I$28*A30/Dados!$C$5)*1000</f>
        <v/>
      </c>
      <c r="K30" s="66">
        <f>J30*(1+$K$3)</f>
        <v/>
      </c>
    </row>
    <row r="31" ht="15" customHeight="1" s="47">
      <c r="A31" s="63">
        <f>Tracado_Perdas!B31</f>
        <v/>
      </c>
      <c r="B31" s="63">
        <f>Esforcos!E31+Dados!$C$35*(3*Dados!$C$33*Dados!$C$5*Esforcos!C31/8-Dados!$C$33*Esforcos!C31^2/2)</f>
        <v/>
      </c>
      <c r="C31" s="67">
        <f>IF(B31&gt;=0,CA!$C$12,CA!$B$12)</f>
        <v/>
      </c>
      <c r="D31" s="64">
        <f>(-CA!$B$16*C31/10000+SQRT((CA!$B$16*C31/10000)^2+2*Dados!$C$6*CA!$B$16*C31/10000*CA!$B$5))/Dados!$C$6</f>
        <v/>
      </c>
      <c r="E31" s="80">
        <f>Dados!$C$6*D31^3/3+CA!$B$16*C31/10000*(CA!$B$5-D31)^2</f>
        <v/>
      </c>
      <c r="F31" s="80">
        <f>IF(ABS(B31)&lt;=CA!$B$14,Dados!$C$9,MIN((CA!$B$14/ABS(B31))^3*Dados!$C$9+(1-(CA!$B$14/ABS(B31))^3)*E31,Dados!$C$9))</f>
        <v/>
      </c>
      <c r="G31" s="79">
        <f>-B31/(Dados!$C$20*1000*F31)</f>
        <v/>
      </c>
      <c r="H31" s="80">
        <f>H30+0.5*(G31+G30)*(A31-A30)</f>
        <v/>
      </c>
      <c r="I31" s="79">
        <f>I30+0.5*(H31+H30)*(A31-A30)</f>
        <v/>
      </c>
      <c r="J31" s="66">
        <f>(I31-I$28*A31/Dados!$C$5)*1000</f>
        <v/>
      </c>
      <c r="K31" s="66">
        <f>J31*(1+$K$3)</f>
        <v/>
      </c>
    </row>
    <row r="32" ht="15" customHeight="1" s="47">
      <c r="A32" s="63">
        <f>Tracado_Perdas!B32</f>
        <v/>
      </c>
      <c r="B32" s="63">
        <f>Esforcos!E32+Dados!$C$35*(3*Dados!$C$33*Dados!$C$5*Esforcos!C32/8-Dados!$C$33*Esforcos!C32^2/2)</f>
        <v/>
      </c>
      <c r="C32" s="67">
        <f>IF(B32&gt;=0,CA!$C$12,CA!$B$12)</f>
        <v/>
      </c>
      <c r="D32" s="64">
        <f>(-CA!$B$16*C32/10000+SQRT((CA!$B$16*C32/10000)^2+2*Dados!$C$6*CA!$B$16*C32/10000*CA!$B$5))/Dados!$C$6</f>
        <v/>
      </c>
      <c r="E32" s="80">
        <f>Dados!$C$6*D32^3/3+CA!$B$16*C32/10000*(CA!$B$5-D32)^2</f>
        <v/>
      </c>
      <c r="F32" s="80">
        <f>IF(ABS(B32)&lt;=CA!$B$14,Dados!$C$9,MIN((CA!$B$14/ABS(B32))^3*Dados!$C$9+(1-(CA!$B$14/ABS(B32))^3)*E32,Dados!$C$9))</f>
        <v/>
      </c>
      <c r="G32" s="79">
        <f>-B32/(Dados!$C$20*1000*F32)</f>
        <v/>
      </c>
      <c r="H32" s="80">
        <f>H31+0.5*(G32+G31)*(A32-A31)</f>
        <v/>
      </c>
      <c r="I32" s="79">
        <f>I31+0.5*(H32+H31)*(A32-A31)</f>
        <v/>
      </c>
      <c r="J32" s="66">
        <f>(I32-I$28*A32/Dados!$C$5)*1000</f>
        <v/>
      </c>
      <c r="K32" s="66">
        <f>J32*(1+$K$3)</f>
        <v/>
      </c>
    </row>
    <row r="33" ht="15" customHeight="1" s="47">
      <c r="A33" s="63">
        <f>Tracado_Perdas!B33</f>
        <v/>
      </c>
      <c r="B33" s="63">
        <f>Esforcos!E33+Dados!$C$35*(3*Dados!$C$33*Dados!$C$5*Esforcos!C33/8-Dados!$C$33*Esforcos!C33^2/2)</f>
        <v/>
      </c>
      <c r="C33" s="67">
        <f>IF(B33&gt;=0,CA!$C$12,CA!$B$12)</f>
        <v/>
      </c>
      <c r="D33" s="64">
        <f>(-CA!$B$16*C33/10000+SQRT((CA!$B$16*C33/10000)^2+2*Dados!$C$6*CA!$B$16*C33/10000*CA!$B$5))/Dados!$C$6</f>
        <v/>
      </c>
      <c r="E33" s="80">
        <f>Dados!$C$6*D33^3/3+CA!$B$16*C33/10000*(CA!$B$5-D33)^2</f>
        <v/>
      </c>
      <c r="F33" s="80">
        <f>IF(ABS(B33)&lt;=CA!$B$14,Dados!$C$9,MIN((CA!$B$14/ABS(B33))^3*Dados!$C$9+(1-(CA!$B$14/ABS(B33))^3)*E33,Dados!$C$9))</f>
        <v/>
      </c>
      <c r="G33" s="79">
        <f>-B33/(Dados!$C$20*1000*F33)</f>
        <v/>
      </c>
      <c r="H33" s="80">
        <f>H32+0.5*(G33+G32)*(A33-A32)</f>
        <v/>
      </c>
      <c r="I33" s="79">
        <f>I32+0.5*(H33+H32)*(A33-A32)</f>
        <v/>
      </c>
      <c r="J33" s="66">
        <f>(I33-I$28*A33/Dados!$C$5)*1000</f>
        <v/>
      </c>
      <c r="K33" s="66">
        <f>J33*(1+$K$3)</f>
        <v/>
      </c>
    </row>
    <row r="34" ht="15" customHeight="1" s="47">
      <c r="A34" s="63">
        <f>Tracado_Perdas!B34</f>
        <v/>
      </c>
      <c r="B34" s="63">
        <f>Esforcos!E34+Dados!$C$35*(3*Dados!$C$33*Dados!$C$5*Esforcos!C34/8-Dados!$C$33*Esforcos!C34^2/2)</f>
        <v/>
      </c>
      <c r="C34" s="67">
        <f>IF(B34&gt;=0,CA!$C$12,CA!$B$12)</f>
        <v/>
      </c>
      <c r="D34" s="64">
        <f>(-CA!$B$16*C34/10000+SQRT((CA!$B$16*C34/10000)^2+2*Dados!$C$6*CA!$B$16*C34/10000*CA!$B$5))/Dados!$C$6</f>
        <v/>
      </c>
      <c r="E34" s="80">
        <f>Dados!$C$6*D34^3/3+CA!$B$16*C34/10000*(CA!$B$5-D34)^2</f>
        <v/>
      </c>
      <c r="F34" s="80">
        <f>IF(ABS(B34)&lt;=CA!$B$14,Dados!$C$9,MIN((CA!$B$14/ABS(B34))^3*Dados!$C$9+(1-(CA!$B$14/ABS(B34))^3)*E34,Dados!$C$9))</f>
        <v/>
      </c>
      <c r="G34" s="79">
        <f>-B34/(Dados!$C$20*1000*F34)</f>
        <v/>
      </c>
      <c r="H34" s="80">
        <f>H33+0.5*(G34+G33)*(A34-A33)</f>
        <v/>
      </c>
      <c r="I34" s="79">
        <f>I33+0.5*(H34+H33)*(A34-A33)</f>
        <v/>
      </c>
      <c r="J34" s="66">
        <f>(I34-I$28*A34/Dados!$C$5)*1000</f>
        <v/>
      </c>
      <c r="K34" s="66">
        <f>J34*(1+$K$3)</f>
        <v/>
      </c>
    </row>
    <row r="35" ht="15" customHeight="1" s="47">
      <c r="A35" s="63">
        <f>Tracado_Perdas!B35</f>
        <v/>
      </c>
      <c r="B35" s="63">
        <f>Esforcos!E35+Dados!$C$35*(3*Dados!$C$33*Dados!$C$5*Esforcos!C35/8-Dados!$C$33*Esforcos!C35^2/2)</f>
        <v/>
      </c>
      <c r="C35" s="67">
        <f>IF(B35&gt;=0,CA!$C$12,CA!$B$12)</f>
        <v/>
      </c>
      <c r="D35" s="64">
        <f>(-CA!$B$16*C35/10000+SQRT((CA!$B$16*C35/10000)^2+2*Dados!$C$6*CA!$B$16*C35/10000*CA!$B$5))/Dados!$C$6</f>
        <v/>
      </c>
      <c r="E35" s="80">
        <f>Dados!$C$6*D35^3/3+CA!$B$16*C35/10000*(CA!$B$5-D35)^2</f>
        <v/>
      </c>
      <c r="F35" s="80">
        <f>IF(ABS(B35)&lt;=CA!$B$14,Dados!$C$9,MIN((CA!$B$14/ABS(B35))^3*Dados!$C$9+(1-(CA!$B$14/ABS(B35))^3)*E35,Dados!$C$9))</f>
        <v/>
      </c>
      <c r="G35" s="79">
        <f>-B35/(Dados!$C$20*1000*F35)</f>
        <v/>
      </c>
      <c r="H35" s="80">
        <f>H34+0.5*(G35+G34)*(A35-A34)</f>
        <v/>
      </c>
      <c r="I35" s="79">
        <f>I34+0.5*(H35+H34)*(A35-A34)</f>
        <v/>
      </c>
      <c r="J35" s="66">
        <f>(I35-I$28*A35/Dados!$C$5)*1000</f>
        <v/>
      </c>
      <c r="K35" s="66">
        <f>J35*(1+$K$3)</f>
        <v/>
      </c>
    </row>
    <row r="36" ht="15" customHeight="1" s="47">
      <c r="A36" s="63">
        <f>Tracado_Perdas!B36</f>
        <v/>
      </c>
      <c r="B36" s="63">
        <f>Esforcos!E36+Dados!$C$35*(3*Dados!$C$33*Dados!$C$5*Esforcos!C36/8-Dados!$C$33*Esforcos!C36^2/2)</f>
        <v/>
      </c>
      <c r="C36" s="67">
        <f>IF(B36&gt;=0,CA!$C$12,CA!$B$12)</f>
        <v/>
      </c>
      <c r="D36" s="64">
        <f>(-CA!$B$16*C36/10000+SQRT((CA!$B$16*C36/10000)^2+2*Dados!$C$6*CA!$B$16*C36/10000*CA!$B$5))/Dados!$C$6</f>
        <v/>
      </c>
      <c r="E36" s="80">
        <f>Dados!$C$6*D36^3/3+CA!$B$16*C36/10000*(CA!$B$5-D36)^2</f>
        <v/>
      </c>
      <c r="F36" s="80">
        <f>IF(ABS(B36)&lt;=CA!$B$14,Dados!$C$9,MIN((CA!$B$14/ABS(B36))^3*Dados!$C$9+(1-(CA!$B$14/ABS(B36))^3)*E36,Dados!$C$9))</f>
        <v/>
      </c>
      <c r="G36" s="79">
        <f>-B36/(Dados!$C$20*1000*F36)</f>
        <v/>
      </c>
      <c r="H36" s="80">
        <f>H35+0.5*(G36+G35)*(A36-A35)</f>
        <v/>
      </c>
      <c r="I36" s="79">
        <f>I35+0.5*(H36+H35)*(A36-A35)</f>
        <v/>
      </c>
      <c r="J36" s="66">
        <f>(I36-I$28*A36/Dados!$C$5)*1000</f>
        <v/>
      </c>
      <c r="K36" s="66">
        <f>J36*(1+$K$3)</f>
        <v/>
      </c>
    </row>
    <row r="37" ht="15" customHeight="1" s="47">
      <c r="A37" s="63">
        <f>Tracado_Perdas!B37</f>
        <v/>
      </c>
      <c r="B37" s="63">
        <f>Esforcos!E37+Dados!$C$35*(3*Dados!$C$33*Dados!$C$5*Esforcos!C37/8-Dados!$C$33*Esforcos!C37^2/2)</f>
        <v/>
      </c>
      <c r="C37" s="67">
        <f>IF(B37&gt;=0,CA!$C$12,CA!$B$12)</f>
        <v/>
      </c>
      <c r="D37" s="64">
        <f>(-CA!$B$16*C37/10000+SQRT((CA!$B$16*C37/10000)^2+2*Dados!$C$6*CA!$B$16*C37/10000*CA!$B$5))/Dados!$C$6</f>
        <v/>
      </c>
      <c r="E37" s="80">
        <f>Dados!$C$6*D37^3/3+CA!$B$16*C37/10000*(CA!$B$5-D37)^2</f>
        <v/>
      </c>
      <c r="F37" s="80">
        <f>IF(ABS(B37)&lt;=CA!$B$14,Dados!$C$9,MIN((CA!$B$14/ABS(B37))^3*Dados!$C$9+(1-(CA!$B$14/ABS(B37))^3)*E37,Dados!$C$9))</f>
        <v/>
      </c>
      <c r="G37" s="79">
        <f>-B37/(Dados!$C$20*1000*F37)</f>
        <v/>
      </c>
      <c r="H37" s="80">
        <f>H36+0.5*(G37+G36)*(A37-A36)</f>
        <v/>
      </c>
      <c r="I37" s="79">
        <f>I36+0.5*(H37+H36)*(A37-A36)</f>
        <v/>
      </c>
      <c r="J37" s="66">
        <f>(I37-I$28*A37/Dados!$C$5)*1000</f>
        <v/>
      </c>
      <c r="K37" s="66">
        <f>J37*(1+$K$3)</f>
        <v/>
      </c>
    </row>
    <row r="38" ht="15" customHeight="1" s="47">
      <c r="A38" s="63">
        <f>Tracado_Perdas!B38</f>
        <v/>
      </c>
      <c r="B38" s="63">
        <f>Esforcos!E38+Dados!$C$35*(3*Dados!$C$33*Dados!$C$5*Esforcos!C38/8-Dados!$C$33*Esforcos!C38^2/2)</f>
        <v/>
      </c>
      <c r="C38" s="67">
        <f>IF(B38&gt;=0,CA!$C$12,CA!$B$12)</f>
        <v/>
      </c>
      <c r="D38" s="64">
        <f>(-CA!$B$16*C38/10000+SQRT((CA!$B$16*C38/10000)^2+2*Dados!$C$6*CA!$B$16*C38/10000*CA!$B$5))/Dados!$C$6</f>
        <v/>
      </c>
      <c r="E38" s="80">
        <f>Dados!$C$6*D38^3/3+CA!$B$16*C38/10000*(CA!$B$5-D38)^2</f>
        <v/>
      </c>
      <c r="F38" s="80">
        <f>IF(ABS(B38)&lt;=CA!$B$14,Dados!$C$9,MIN((CA!$B$14/ABS(B38))^3*Dados!$C$9+(1-(CA!$B$14/ABS(B38))^3)*E38,Dados!$C$9))</f>
        <v/>
      </c>
      <c r="G38" s="79">
        <f>-B38/(Dados!$C$20*1000*F38)</f>
        <v/>
      </c>
      <c r="H38" s="80">
        <f>H37+0.5*(G38+G37)*(A38-A37)</f>
        <v/>
      </c>
      <c r="I38" s="79">
        <f>I37+0.5*(H38+H37)*(A38-A37)</f>
        <v/>
      </c>
      <c r="J38" s="66">
        <f>(I38-I$28*A38/Dados!$C$5)*1000</f>
        <v/>
      </c>
      <c r="K38" s="66">
        <f>J38*(1+$K$3)</f>
        <v/>
      </c>
    </row>
    <row r="39" ht="15" customHeight="1" s="47">
      <c r="A39" s="63">
        <f>Tracado_Perdas!B39</f>
        <v/>
      </c>
      <c r="B39" s="63">
        <f>Esforcos!E39+Dados!$C$35*(3*Dados!$C$33*Dados!$C$5*Esforcos!C39/8-Dados!$C$33*Esforcos!C39^2/2)</f>
        <v/>
      </c>
      <c r="C39" s="67">
        <f>IF(B39&gt;=0,CA!$C$12,CA!$B$12)</f>
        <v/>
      </c>
      <c r="D39" s="64">
        <f>(-CA!$B$16*C39/10000+SQRT((CA!$B$16*C39/10000)^2+2*Dados!$C$6*CA!$B$16*C39/10000*CA!$B$5))/Dados!$C$6</f>
        <v/>
      </c>
      <c r="E39" s="80">
        <f>Dados!$C$6*D39^3/3+CA!$B$16*C39/10000*(CA!$B$5-D39)^2</f>
        <v/>
      </c>
      <c r="F39" s="80">
        <f>IF(ABS(B39)&lt;=CA!$B$14,Dados!$C$9,MIN((CA!$B$14/ABS(B39))^3*Dados!$C$9+(1-(CA!$B$14/ABS(B39))^3)*E39,Dados!$C$9))</f>
        <v/>
      </c>
      <c r="G39" s="79">
        <f>-B39/(Dados!$C$20*1000*F39)</f>
        <v/>
      </c>
      <c r="H39" s="80">
        <f>H38+0.5*(G39+G38)*(A39-A38)</f>
        <v/>
      </c>
      <c r="I39" s="79">
        <f>I38+0.5*(H39+H38)*(A39-A38)</f>
        <v/>
      </c>
      <c r="J39" s="66">
        <f>(I39-I$28*A39/Dados!$C$5)*1000</f>
        <v/>
      </c>
      <c r="K39" s="66">
        <f>J39*(1+$K$3)</f>
        <v/>
      </c>
    </row>
    <row r="40" ht="15" customHeight="1" s="47">
      <c r="A40" s="63">
        <f>Tracado_Perdas!B40</f>
        <v/>
      </c>
      <c r="B40" s="63">
        <f>Esforcos!E40+Dados!$C$35*(3*Dados!$C$33*Dados!$C$5*Esforcos!C40/8-Dados!$C$33*Esforcos!C40^2/2)</f>
        <v/>
      </c>
      <c r="C40" s="67">
        <f>IF(B40&gt;=0,CA!$C$12,CA!$B$12)</f>
        <v/>
      </c>
      <c r="D40" s="64">
        <f>(-CA!$B$16*C40/10000+SQRT((CA!$B$16*C40/10000)^2+2*Dados!$C$6*CA!$B$16*C40/10000*CA!$B$5))/Dados!$C$6</f>
        <v/>
      </c>
      <c r="E40" s="80">
        <f>Dados!$C$6*D40^3/3+CA!$B$16*C40/10000*(CA!$B$5-D40)^2</f>
        <v/>
      </c>
      <c r="F40" s="80">
        <f>IF(ABS(B40)&lt;=CA!$B$14,Dados!$C$9,MIN((CA!$B$14/ABS(B40))^3*Dados!$C$9+(1-(CA!$B$14/ABS(B40))^3)*E40,Dados!$C$9))</f>
        <v/>
      </c>
      <c r="G40" s="79">
        <f>-B40/(Dados!$C$20*1000*F40)</f>
        <v/>
      </c>
      <c r="H40" s="80">
        <f>H39+0.5*(G40+G39)*(A40-A39)</f>
        <v/>
      </c>
      <c r="I40" s="79">
        <f>I39+0.5*(H40+H39)*(A40-A39)</f>
        <v/>
      </c>
      <c r="J40" s="66">
        <f>(I40-I$28*A40/Dados!$C$5)*1000</f>
        <v/>
      </c>
      <c r="K40" s="66">
        <f>J40*(1+$K$3)</f>
        <v/>
      </c>
    </row>
    <row r="41" ht="15" customHeight="1" s="47">
      <c r="A41" s="63">
        <f>Tracado_Perdas!B41</f>
        <v/>
      </c>
      <c r="B41" s="63">
        <f>Esforcos!E41+Dados!$C$35*(3*Dados!$C$33*Dados!$C$5*Esforcos!C41/8-Dados!$C$33*Esforcos!C41^2/2)</f>
        <v/>
      </c>
      <c r="C41" s="67">
        <f>IF(B41&gt;=0,CA!$C$12,CA!$B$12)</f>
        <v/>
      </c>
      <c r="D41" s="64">
        <f>(-CA!$B$16*C41/10000+SQRT((CA!$B$16*C41/10000)^2+2*Dados!$C$6*CA!$B$16*C41/10000*CA!$B$5))/Dados!$C$6</f>
        <v/>
      </c>
      <c r="E41" s="80">
        <f>Dados!$C$6*D41^3/3+CA!$B$16*C41/10000*(CA!$B$5-D41)^2</f>
        <v/>
      </c>
      <c r="F41" s="80">
        <f>IF(ABS(B41)&lt;=CA!$B$14,Dados!$C$9,MIN((CA!$B$14/ABS(B41))^3*Dados!$C$9+(1-(CA!$B$14/ABS(B41))^3)*E41,Dados!$C$9))</f>
        <v/>
      </c>
      <c r="G41" s="79">
        <f>-B41/(Dados!$C$20*1000*F41)</f>
        <v/>
      </c>
      <c r="H41" s="80">
        <f>H40+0.5*(G41+G40)*(A41-A40)</f>
        <v/>
      </c>
      <c r="I41" s="79">
        <f>I40+0.5*(H41+H40)*(A41-A40)</f>
        <v/>
      </c>
      <c r="J41" s="66">
        <f>(I41-I$28*A41/Dados!$C$5)*1000</f>
        <v/>
      </c>
      <c r="K41" s="66">
        <f>J41*(1+$K$3)</f>
        <v/>
      </c>
    </row>
    <row r="42" ht="15" customHeight="1" s="47">
      <c r="A42" s="63">
        <f>Tracado_Perdas!B42</f>
        <v/>
      </c>
      <c r="B42" s="63">
        <f>Esforcos!E42+Dados!$C$35*(3*Dados!$C$33*Dados!$C$5*Esforcos!C42/8-Dados!$C$33*Esforcos!C42^2/2)</f>
        <v/>
      </c>
      <c r="C42" s="67">
        <f>IF(B42&gt;=0,CA!$C$12,CA!$B$12)</f>
        <v/>
      </c>
      <c r="D42" s="64">
        <f>(-CA!$B$16*C42/10000+SQRT((CA!$B$16*C42/10000)^2+2*Dados!$C$6*CA!$B$16*C42/10000*CA!$B$5))/Dados!$C$6</f>
        <v/>
      </c>
      <c r="E42" s="80">
        <f>Dados!$C$6*D42^3/3+CA!$B$16*C42/10000*(CA!$B$5-D42)^2</f>
        <v/>
      </c>
      <c r="F42" s="80">
        <f>IF(ABS(B42)&lt;=CA!$B$14,Dados!$C$9,MIN((CA!$B$14/ABS(B42))^3*Dados!$C$9+(1-(CA!$B$14/ABS(B42))^3)*E42,Dados!$C$9))</f>
        <v/>
      </c>
      <c r="G42" s="79">
        <f>-B42/(Dados!$C$20*1000*F42)</f>
        <v/>
      </c>
      <c r="H42" s="80">
        <f>H41+0.5*(G42+G41)*(A42-A41)</f>
        <v/>
      </c>
      <c r="I42" s="79">
        <f>I41+0.5*(H42+H41)*(A42-A41)</f>
        <v/>
      </c>
      <c r="J42" s="66">
        <f>(I42-I$28*A42/Dados!$C$5)*1000</f>
        <v/>
      </c>
      <c r="K42" s="66">
        <f>J42*(1+$K$3)</f>
        <v/>
      </c>
    </row>
    <row r="43" ht="15" customHeight="1" s="47">
      <c r="A43" s="63">
        <f>Tracado_Perdas!B43</f>
        <v/>
      </c>
      <c r="B43" s="63">
        <f>Esforcos!E43+Dados!$C$35*(3*Dados!$C$33*Dados!$C$5*Esforcos!C43/8-Dados!$C$33*Esforcos!C43^2/2)</f>
        <v/>
      </c>
      <c r="C43" s="67">
        <f>IF(B43&gt;=0,CA!$C$12,CA!$B$12)</f>
        <v/>
      </c>
      <c r="D43" s="64">
        <f>(-CA!$B$16*C43/10000+SQRT((CA!$B$16*C43/10000)^2+2*Dados!$C$6*CA!$B$16*C43/10000*CA!$B$5))/Dados!$C$6</f>
        <v/>
      </c>
      <c r="E43" s="80">
        <f>Dados!$C$6*D43^3/3+CA!$B$16*C43/10000*(CA!$B$5-D43)^2</f>
        <v/>
      </c>
      <c r="F43" s="80">
        <f>IF(ABS(B43)&lt;=CA!$B$14,Dados!$C$9,MIN((CA!$B$14/ABS(B43))^3*Dados!$C$9+(1-(CA!$B$14/ABS(B43))^3)*E43,Dados!$C$9))</f>
        <v/>
      </c>
      <c r="G43" s="79">
        <f>-B43/(Dados!$C$20*1000*F43)</f>
        <v/>
      </c>
      <c r="H43" s="80">
        <f>H42+0.5*(G43+G42)*(A43-A42)</f>
        <v/>
      </c>
      <c r="I43" s="79">
        <f>I42+0.5*(H43+H42)*(A43-A42)</f>
        <v/>
      </c>
      <c r="J43" s="66">
        <f>(I43-I$28*A43/Dados!$C$5)*1000</f>
        <v/>
      </c>
      <c r="K43" s="66">
        <f>J43*(1+$K$3)</f>
        <v/>
      </c>
    </row>
    <row r="44" ht="15" customHeight="1" s="47">
      <c r="A44" s="63">
        <f>Tracado_Perdas!B44</f>
        <v/>
      </c>
      <c r="B44" s="63">
        <f>Esforcos!E44+Dados!$C$35*(3*Dados!$C$33*Dados!$C$5*Esforcos!C44/8-Dados!$C$33*Esforcos!C44^2/2)</f>
        <v/>
      </c>
      <c r="C44" s="67">
        <f>IF(B44&gt;=0,CA!$C$12,CA!$B$12)</f>
        <v/>
      </c>
      <c r="D44" s="64">
        <f>(-CA!$B$16*C44/10000+SQRT((CA!$B$16*C44/10000)^2+2*Dados!$C$6*CA!$B$16*C44/10000*CA!$B$5))/Dados!$C$6</f>
        <v/>
      </c>
      <c r="E44" s="80">
        <f>Dados!$C$6*D44^3/3+CA!$B$16*C44/10000*(CA!$B$5-D44)^2</f>
        <v/>
      </c>
      <c r="F44" s="80">
        <f>IF(ABS(B44)&lt;=CA!$B$14,Dados!$C$9,MIN((CA!$B$14/ABS(B44))^3*Dados!$C$9+(1-(CA!$B$14/ABS(B44))^3)*E44,Dados!$C$9))</f>
        <v/>
      </c>
      <c r="G44" s="79">
        <f>-B44/(Dados!$C$20*1000*F44)</f>
        <v/>
      </c>
      <c r="H44" s="80">
        <f>H43+0.5*(G44+G43)*(A44-A43)</f>
        <v/>
      </c>
      <c r="I44" s="79">
        <f>I43+0.5*(H44+H43)*(A44-A43)</f>
        <v/>
      </c>
      <c r="J44" s="66">
        <f>(I44-I$28*A44/Dados!$C$5)*1000</f>
        <v/>
      </c>
      <c r="K44" s="66">
        <f>J44*(1+$K$3)</f>
        <v/>
      </c>
    </row>
    <row r="45" ht="15" customHeight="1" s="47">
      <c r="A45" s="63">
        <f>Tracado_Perdas!B45</f>
        <v/>
      </c>
      <c r="B45" s="63">
        <f>Esforcos!E45+Dados!$C$35*(3*Dados!$C$33*Dados!$C$5*Esforcos!C45/8-Dados!$C$33*Esforcos!C45^2/2)</f>
        <v/>
      </c>
      <c r="C45" s="67">
        <f>IF(B45&gt;=0,CA!$C$12,CA!$B$12)</f>
        <v/>
      </c>
      <c r="D45" s="64">
        <f>(-CA!$B$16*C45/10000+SQRT((CA!$B$16*C45/10000)^2+2*Dados!$C$6*CA!$B$16*C45/10000*CA!$B$5))/Dados!$C$6</f>
        <v/>
      </c>
      <c r="E45" s="80">
        <f>Dados!$C$6*D45^3/3+CA!$B$16*C45/10000*(CA!$B$5-D45)^2</f>
        <v/>
      </c>
      <c r="F45" s="80">
        <f>IF(ABS(B45)&lt;=CA!$B$14,Dados!$C$9,MIN((CA!$B$14/ABS(B45))^3*Dados!$C$9+(1-(CA!$B$14/ABS(B45))^3)*E45,Dados!$C$9))</f>
        <v/>
      </c>
      <c r="G45" s="79">
        <f>-B45/(Dados!$C$20*1000*F45)</f>
        <v/>
      </c>
      <c r="H45" s="80">
        <f>H44+0.5*(G45+G44)*(A45-A44)</f>
        <v/>
      </c>
      <c r="I45" s="79">
        <f>I44+0.5*(H45+H44)*(A45-A44)</f>
        <v/>
      </c>
      <c r="J45" s="66">
        <f>(I45-I$28*A45/Dados!$C$5)*1000</f>
        <v/>
      </c>
      <c r="K45" s="66">
        <f>J45*(1+$K$3)</f>
        <v/>
      </c>
    </row>
    <row r="46" ht="15" customHeight="1" s="47">
      <c r="A46" s="63">
        <f>Tracado_Perdas!B46</f>
        <v/>
      </c>
      <c r="B46" s="63">
        <f>Esforcos!E46+Dados!$C$35*(3*Dados!$C$33*Dados!$C$5*Esforcos!C46/8-Dados!$C$33*Esforcos!C46^2/2)</f>
        <v/>
      </c>
      <c r="C46" s="67">
        <f>IF(B46&gt;=0,CA!$C$12,CA!$B$12)</f>
        <v/>
      </c>
      <c r="D46" s="64">
        <f>(-CA!$B$16*C46/10000+SQRT((CA!$B$16*C46/10000)^2+2*Dados!$C$6*CA!$B$16*C46/10000*CA!$B$5))/Dados!$C$6</f>
        <v/>
      </c>
      <c r="E46" s="80">
        <f>Dados!$C$6*D46^3/3+CA!$B$16*C46/10000*(CA!$B$5-D46)^2</f>
        <v/>
      </c>
      <c r="F46" s="80">
        <f>IF(ABS(B46)&lt;=CA!$B$14,Dados!$C$9,MIN((CA!$B$14/ABS(B46))^3*Dados!$C$9+(1-(CA!$B$14/ABS(B46))^3)*E46,Dados!$C$9))</f>
        <v/>
      </c>
      <c r="G46" s="79">
        <f>-B46/(Dados!$C$20*1000*F46)</f>
        <v/>
      </c>
      <c r="H46" s="80">
        <f>H45+0.5*(G46+G45)*(A46-A45)</f>
        <v/>
      </c>
      <c r="I46" s="79">
        <f>I45+0.5*(H46+H45)*(A46-A45)</f>
        <v/>
      </c>
      <c r="J46" s="66">
        <f>(I46-I$28*A46/Dados!$C$5)*1000</f>
        <v/>
      </c>
      <c r="K46" s="66">
        <f>J46*(1+$K$3)</f>
        <v/>
      </c>
    </row>
    <row r="47" ht="15" customHeight="1" s="47">
      <c r="A47" s="63">
        <f>Tracado_Perdas!B47</f>
        <v/>
      </c>
      <c r="B47" s="63">
        <f>Esforcos!E47+Dados!$C$35*(3*Dados!$C$33*Dados!$C$5*Esforcos!C47/8-Dados!$C$33*Esforcos!C47^2/2)</f>
        <v/>
      </c>
      <c r="C47" s="67">
        <f>IF(B47&gt;=0,CA!$C$12,CA!$B$12)</f>
        <v/>
      </c>
      <c r="D47" s="64">
        <f>(-CA!$B$16*C47/10000+SQRT((CA!$B$16*C47/10000)^2+2*Dados!$C$6*CA!$B$16*C47/10000*CA!$B$5))/Dados!$C$6</f>
        <v/>
      </c>
      <c r="E47" s="80">
        <f>Dados!$C$6*D47^3/3+CA!$B$16*C47/10000*(CA!$B$5-D47)^2</f>
        <v/>
      </c>
      <c r="F47" s="80">
        <f>IF(ABS(B47)&lt;=CA!$B$14,Dados!$C$9,MIN((CA!$B$14/ABS(B47))^3*Dados!$C$9+(1-(CA!$B$14/ABS(B47))^3)*E47,Dados!$C$9))</f>
        <v/>
      </c>
      <c r="G47" s="79">
        <f>-B47/(Dados!$C$20*1000*F47)</f>
        <v/>
      </c>
      <c r="H47" s="80">
        <f>H46+0.5*(G47+G46)*(A47-A46)</f>
        <v/>
      </c>
      <c r="I47" s="79">
        <f>I46+0.5*(H47+H46)*(A47-A46)</f>
        <v/>
      </c>
      <c r="J47" s="66">
        <f>(I47-I$28*A47/Dados!$C$5)*1000</f>
        <v/>
      </c>
      <c r="K47" s="66">
        <f>J47*(1+$K$3)</f>
        <v/>
      </c>
    </row>
    <row r="48" ht="15" customHeight="1" s="47">
      <c r="A48" s="63">
        <f>Tracado_Perdas!B48</f>
        <v/>
      </c>
      <c r="B48" s="63">
        <f>Esforcos!E48+Dados!$C$35*(3*Dados!$C$33*Dados!$C$5*Esforcos!C48/8-Dados!$C$33*Esforcos!C48^2/2)</f>
        <v/>
      </c>
      <c r="C48" s="67">
        <f>IF(B48&gt;=0,CA!$C$12,CA!$B$12)</f>
        <v/>
      </c>
      <c r="D48" s="64">
        <f>(-CA!$B$16*C48/10000+SQRT((CA!$B$16*C48/10000)^2+2*Dados!$C$6*CA!$B$16*C48/10000*CA!$B$5))/Dados!$C$6</f>
        <v/>
      </c>
      <c r="E48" s="80">
        <f>Dados!$C$6*D48^3/3+CA!$B$16*C48/10000*(CA!$B$5-D48)^2</f>
        <v/>
      </c>
      <c r="F48" s="80">
        <f>IF(ABS(B48)&lt;=CA!$B$14,Dados!$C$9,MIN((CA!$B$14/ABS(B48))^3*Dados!$C$9+(1-(CA!$B$14/ABS(B48))^3)*E48,Dados!$C$9))</f>
        <v/>
      </c>
      <c r="G48" s="79">
        <f>-B48/(Dados!$C$20*1000*F48)</f>
        <v/>
      </c>
      <c r="H48" s="80">
        <f>H47+0.5*(G48+G47)*(A48-A47)</f>
        <v/>
      </c>
      <c r="I48" s="79">
        <f>I47+0.5*(H48+H47)*(A48-A47)</f>
        <v/>
      </c>
      <c r="J48" s="66">
        <f>(I48-I$28*A48/Dados!$C$5)*1000</f>
        <v/>
      </c>
      <c r="K48" s="66">
        <f>J48*(1+$K$3)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L4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46" min="1" max="11"/>
    <col width="24" customWidth="1" style="46" min="12" max="12"/>
  </cols>
  <sheetData>
    <row r="1" ht="16.15" customHeight="1" s="47">
      <c r="A1" s="59" t="inlineStr">
        <is>
          <t>Níveis de protensão - verificação do projeto atual (NBR 6118, Tab. 13.4, pós-tração, CAA II)</t>
        </is>
      </c>
    </row>
    <row r="2" ht="15" customHeight="1" s="47">
      <c r="A2" s="49" t="inlineStr">
        <is>
          <t>Nível 3 (completa): ELS-D na comb. frequente e ELS-F na rara. Nível 2 (limitada): ELS-D na quase permanente e ELS-F na frequente. Nível 1 (parcial): só ELS-W (wk ≤ 0,2 mm, CAA II) na frequente. σ1 = fibra inferior; σ2 = superior; tração +.</t>
        </is>
      </c>
    </row>
    <row r="3" ht="15" customHeight="1" s="47">
      <c r="A3" s="68" t="inlineStr">
        <is>
          <t>Atende?</t>
        </is>
      </c>
      <c r="H3" s="84">
        <f>IF(COUNTIF(H8:H48,"NÃO")=0,"ATENDE","NÃO ATENDE")</f>
        <v/>
      </c>
      <c r="I3" s="84">
        <f>IF(COUNTIF(I8:I48,"NÃO")=0,"ATENDE","NÃO ATENDE")</f>
        <v/>
      </c>
      <c r="J3" s="84">
        <f>IF(COUNTIF(J8:J48,"NÃO")=0,"ATENDE","NÃO ATENDE")</f>
        <v/>
      </c>
      <c r="K3" s="84">
        <f>IF(COUNTIF(K8:K48,"NÃO")=0,"ATENDE","NÃO ATENDE")</f>
        <v/>
      </c>
      <c r="L3" s="84">
        <f>IF(COUNTIF(L8:L48,"fissurada*")=0,"sem fissuras","há trechos fissurados")</f>
        <v/>
      </c>
    </row>
    <row r="4" ht="15" customHeight="1" s="47">
      <c r="A4" s="68" t="inlineStr">
        <is>
          <t>σ tração máx.</t>
        </is>
      </c>
      <c r="B4" s="69">
        <f>MAX(B8:B48)</f>
        <v/>
      </c>
      <c r="C4" s="69">
        <f>MAX(C8:C48)</f>
        <v/>
      </c>
      <c r="D4" s="69">
        <f>MAX(D8:D48)</f>
        <v/>
      </c>
      <c r="E4" s="69">
        <f>MAX(E8:E48)</f>
        <v/>
      </c>
      <c r="F4" s="69">
        <f>MAX(F8:F48)</f>
        <v/>
      </c>
      <c r="G4" s="69">
        <f>MAX(G8:G48)</f>
        <v/>
      </c>
    </row>
    <row r="6" ht="31.5" customHeight="1" s="47">
      <c r="A6" s="60" t="inlineStr">
        <is>
          <t>x</t>
        </is>
      </c>
      <c r="B6" s="60" t="inlineStr">
        <is>
          <t>σ1 CQP (Mg+ψ2Mq+)</t>
        </is>
      </c>
      <c r="C6" s="60" t="inlineStr">
        <is>
          <t>σ2 CQP (Mg+ψ2Mq-)</t>
        </is>
      </c>
      <c r="D6" s="60" t="inlineStr">
        <is>
          <t>σ1 CF (ψ1)</t>
        </is>
      </c>
      <c r="E6" s="60" t="inlineStr">
        <is>
          <t>σ2 CF (ψ1)</t>
        </is>
      </c>
      <c r="F6" s="60" t="inlineStr">
        <is>
          <t>σ1 CR</t>
        </is>
      </c>
      <c r="G6" s="60" t="inlineStr">
        <is>
          <t>σ2 CR</t>
        </is>
      </c>
      <c r="H6" s="60" t="inlineStr">
        <is>
          <t>N3 ELS-D (CF ≤ 0)</t>
        </is>
      </c>
      <c r="I6" s="60" t="inlineStr">
        <is>
          <t>N3 ELS-F (CR ≤ ft)</t>
        </is>
      </c>
      <c r="J6" s="60" t="inlineStr">
        <is>
          <t>N2 ELS-D (CQP ≤ 0)</t>
        </is>
      </c>
      <c r="K6" s="60" t="inlineStr">
        <is>
          <t>N2 ELS-F (CF ≤ ft)</t>
        </is>
      </c>
      <c r="L6" s="60" t="inlineStr">
        <is>
          <t>N1 seção sob CF</t>
        </is>
      </c>
    </row>
    <row r="7" ht="15" customHeight="1" s="47">
      <c r="A7" s="61" t="inlineStr">
        <is>
          <t>m</t>
        </is>
      </c>
      <c r="B7" s="61" t="inlineStr">
        <is>
          <t>MPa</t>
        </is>
      </c>
      <c r="C7" s="61" t="inlineStr">
        <is>
          <t>MPa</t>
        </is>
      </c>
      <c r="D7" s="61" t="inlineStr">
        <is>
          <t>MPa</t>
        </is>
      </c>
      <c r="E7" s="61" t="inlineStr">
        <is>
          <t>MPa</t>
        </is>
      </c>
      <c r="F7" s="61" t="inlineStr">
        <is>
          <t>MPa</t>
        </is>
      </c>
      <c r="G7" s="61" t="inlineStr">
        <is>
          <t>MPa</t>
        </is>
      </c>
      <c r="H7" s="61" t="n"/>
      <c r="I7" s="61" t="n"/>
      <c r="J7" s="61" t="n"/>
      <c r="K7" s="61" t="n"/>
      <c r="L7" s="61" t="n"/>
    </row>
    <row r="8" ht="15" customHeight="1" s="47">
      <c r="A8" s="63">
        <f>Tracado_Perdas!B8</f>
        <v/>
      </c>
      <c r="B8" s="67">
        <f>Tensoes!I8+(Esforcos!E8+Dados!$C$35*Esforcos!F8)/Dados!$C$10/1000</f>
        <v/>
      </c>
      <c r="C8" s="67">
        <f>Tensoes!J8-(Esforcos!E8+Dados!$C$35*Esforcos!G8)/Dados!$C$10/1000</f>
        <v/>
      </c>
      <c r="D8" s="67">
        <f>Tensoes!M8</f>
        <v/>
      </c>
      <c r="E8" s="67">
        <f>Tensoes!N8</f>
        <v/>
      </c>
      <c r="F8" s="67">
        <f>Tensoes!O8</f>
        <v/>
      </c>
      <c r="G8" s="67">
        <f>Tensoes!P8</f>
        <v/>
      </c>
      <c r="H8" s="71">
        <f>IF(AND(D8&lt;=0,E8&lt;=0),"OK","NÃO")</f>
        <v/>
      </c>
      <c r="I8" s="71">
        <f>IF(AND(F8&lt;=Dados!$C$25,G8&lt;=Dados!$C$25),"OK","NÃO")</f>
        <v/>
      </c>
      <c r="J8" s="71">
        <f>IF(AND(B8&lt;=0,C8&lt;=0),"OK","NÃO")</f>
        <v/>
      </c>
      <c r="K8" s="71">
        <f>IF(AND(D8&lt;=Dados!$C$25,E8&lt;=Dados!$C$25),"OK","NÃO")</f>
        <v/>
      </c>
      <c r="L8" s="71">
        <f>IF(MAX(D8,E8)&gt;Dados!$C$25,"fissurada: verificar wk","não fissurada")</f>
        <v/>
      </c>
    </row>
    <row r="9" ht="15" customHeight="1" s="47">
      <c r="A9" s="63">
        <f>Tracado_Perdas!B9</f>
        <v/>
      </c>
      <c r="B9" s="67">
        <f>Tensoes!I9+(Esforcos!E9+Dados!$C$35*Esforcos!F9)/Dados!$C$10/1000</f>
        <v/>
      </c>
      <c r="C9" s="67">
        <f>Tensoes!J9-(Esforcos!E9+Dados!$C$35*Esforcos!G9)/Dados!$C$10/1000</f>
        <v/>
      </c>
      <c r="D9" s="67">
        <f>Tensoes!M9</f>
        <v/>
      </c>
      <c r="E9" s="67">
        <f>Tensoes!N9</f>
        <v/>
      </c>
      <c r="F9" s="67">
        <f>Tensoes!O9</f>
        <v/>
      </c>
      <c r="G9" s="67">
        <f>Tensoes!P9</f>
        <v/>
      </c>
      <c r="H9" s="71">
        <f>IF(AND(D9&lt;=0,E9&lt;=0),"OK","NÃO")</f>
        <v/>
      </c>
      <c r="I9" s="71">
        <f>IF(AND(F9&lt;=Dados!$C$25,G9&lt;=Dados!$C$25),"OK","NÃO")</f>
        <v/>
      </c>
      <c r="J9" s="71">
        <f>IF(AND(B9&lt;=0,C9&lt;=0),"OK","NÃO")</f>
        <v/>
      </c>
      <c r="K9" s="71">
        <f>IF(AND(D9&lt;=Dados!$C$25,E9&lt;=Dados!$C$25),"OK","NÃO")</f>
        <v/>
      </c>
      <c r="L9" s="71">
        <f>IF(MAX(D9,E9)&gt;Dados!$C$25,"fissurada: verificar wk","não fissurada")</f>
        <v/>
      </c>
    </row>
    <row r="10" ht="15" customHeight="1" s="47">
      <c r="A10" s="63">
        <f>Tracado_Perdas!B10</f>
        <v/>
      </c>
      <c r="B10" s="67">
        <f>Tensoes!I10+(Esforcos!E10+Dados!$C$35*Esforcos!F10)/Dados!$C$10/1000</f>
        <v/>
      </c>
      <c r="C10" s="67">
        <f>Tensoes!J10-(Esforcos!E10+Dados!$C$35*Esforcos!G10)/Dados!$C$10/1000</f>
        <v/>
      </c>
      <c r="D10" s="67">
        <f>Tensoes!M10</f>
        <v/>
      </c>
      <c r="E10" s="67">
        <f>Tensoes!N10</f>
        <v/>
      </c>
      <c r="F10" s="67">
        <f>Tensoes!O10</f>
        <v/>
      </c>
      <c r="G10" s="67">
        <f>Tensoes!P10</f>
        <v/>
      </c>
      <c r="H10" s="71">
        <f>IF(AND(D10&lt;=0,E10&lt;=0),"OK","NÃO")</f>
        <v/>
      </c>
      <c r="I10" s="71">
        <f>IF(AND(F10&lt;=Dados!$C$25,G10&lt;=Dados!$C$25),"OK","NÃO")</f>
        <v/>
      </c>
      <c r="J10" s="71">
        <f>IF(AND(B10&lt;=0,C10&lt;=0),"OK","NÃO")</f>
        <v/>
      </c>
      <c r="K10" s="71">
        <f>IF(AND(D10&lt;=Dados!$C$25,E10&lt;=Dados!$C$25),"OK","NÃO")</f>
        <v/>
      </c>
      <c r="L10" s="71">
        <f>IF(MAX(D10,E10)&gt;Dados!$C$25,"fissurada: verificar wk","não fissurada")</f>
        <v/>
      </c>
    </row>
    <row r="11" ht="15" customHeight="1" s="47">
      <c r="A11" s="63">
        <f>Tracado_Perdas!B11</f>
        <v/>
      </c>
      <c r="B11" s="67">
        <f>Tensoes!I11+(Esforcos!E11+Dados!$C$35*Esforcos!F11)/Dados!$C$10/1000</f>
        <v/>
      </c>
      <c r="C11" s="67">
        <f>Tensoes!J11-(Esforcos!E11+Dados!$C$35*Esforcos!G11)/Dados!$C$10/1000</f>
        <v/>
      </c>
      <c r="D11" s="67">
        <f>Tensoes!M11</f>
        <v/>
      </c>
      <c r="E11" s="67">
        <f>Tensoes!N11</f>
        <v/>
      </c>
      <c r="F11" s="67">
        <f>Tensoes!O11</f>
        <v/>
      </c>
      <c r="G11" s="67">
        <f>Tensoes!P11</f>
        <v/>
      </c>
      <c r="H11" s="71">
        <f>IF(AND(D11&lt;=0,E11&lt;=0),"OK","NÃO")</f>
        <v/>
      </c>
      <c r="I11" s="71">
        <f>IF(AND(F11&lt;=Dados!$C$25,G11&lt;=Dados!$C$25),"OK","NÃO")</f>
        <v/>
      </c>
      <c r="J11" s="71">
        <f>IF(AND(B11&lt;=0,C11&lt;=0),"OK","NÃO")</f>
        <v/>
      </c>
      <c r="K11" s="71">
        <f>IF(AND(D11&lt;=Dados!$C$25,E11&lt;=Dados!$C$25),"OK","NÃO")</f>
        <v/>
      </c>
      <c r="L11" s="71">
        <f>IF(MAX(D11,E11)&gt;Dados!$C$25,"fissurada: verificar wk","não fissurada")</f>
        <v/>
      </c>
    </row>
    <row r="12" ht="15" customHeight="1" s="47">
      <c r="A12" s="63">
        <f>Tracado_Perdas!B12</f>
        <v/>
      </c>
      <c r="B12" s="67">
        <f>Tensoes!I12+(Esforcos!E12+Dados!$C$35*Esforcos!F12)/Dados!$C$10/1000</f>
        <v/>
      </c>
      <c r="C12" s="67">
        <f>Tensoes!J12-(Esforcos!E12+Dados!$C$35*Esforcos!G12)/Dados!$C$10/1000</f>
        <v/>
      </c>
      <c r="D12" s="67">
        <f>Tensoes!M12</f>
        <v/>
      </c>
      <c r="E12" s="67">
        <f>Tensoes!N12</f>
        <v/>
      </c>
      <c r="F12" s="67">
        <f>Tensoes!O12</f>
        <v/>
      </c>
      <c r="G12" s="67">
        <f>Tensoes!P12</f>
        <v/>
      </c>
      <c r="H12" s="71">
        <f>IF(AND(D12&lt;=0,E12&lt;=0),"OK","NÃO")</f>
        <v/>
      </c>
      <c r="I12" s="71">
        <f>IF(AND(F12&lt;=Dados!$C$25,G12&lt;=Dados!$C$25),"OK","NÃO")</f>
        <v/>
      </c>
      <c r="J12" s="71">
        <f>IF(AND(B12&lt;=0,C12&lt;=0),"OK","NÃO")</f>
        <v/>
      </c>
      <c r="K12" s="71">
        <f>IF(AND(D12&lt;=Dados!$C$25,E12&lt;=Dados!$C$25),"OK","NÃO")</f>
        <v/>
      </c>
      <c r="L12" s="71">
        <f>IF(MAX(D12,E12)&gt;Dados!$C$25,"fissurada: verificar wk","não fissurada")</f>
        <v/>
      </c>
    </row>
    <row r="13" ht="15" customHeight="1" s="47">
      <c r="A13" s="63">
        <f>Tracado_Perdas!B13</f>
        <v/>
      </c>
      <c r="B13" s="67">
        <f>Tensoes!I13+(Esforcos!E13+Dados!$C$35*Esforcos!F13)/Dados!$C$10/1000</f>
        <v/>
      </c>
      <c r="C13" s="67">
        <f>Tensoes!J13-(Esforcos!E13+Dados!$C$35*Esforcos!G13)/Dados!$C$10/1000</f>
        <v/>
      </c>
      <c r="D13" s="67">
        <f>Tensoes!M13</f>
        <v/>
      </c>
      <c r="E13" s="67">
        <f>Tensoes!N13</f>
        <v/>
      </c>
      <c r="F13" s="67">
        <f>Tensoes!O13</f>
        <v/>
      </c>
      <c r="G13" s="67">
        <f>Tensoes!P13</f>
        <v/>
      </c>
      <c r="H13" s="71">
        <f>IF(AND(D13&lt;=0,E13&lt;=0),"OK","NÃO")</f>
        <v/>
      </c>
      <c r="I13" s="71">
        <f>IF(AND(F13&lt;=Dados!$C$25,G13&lt;=Dados!$C$25),"OK","NÃO")</f>
        <v/>
      </c>
      <c r="J13" s="71">
        <f>IF(AND(B13&lt;=0,C13&lt;=0),"OK","NÃO")</f>
        <v/>
      </c>
      <c r="K13" s="71">
        <f>IF(AND(D13&lt;=Dados!$C$25,E13&lt;=Dados!$C$25),"OK","NÃO")</f>
        <v/>
      </c>
      <c r="L13" s="71">
        <f>IF(MAX(D13,E13)&gt;Dados!$C$25,"fissurada: verificar wk","não fissurada")</f>
        <v/>
      </c>
    </row>
    <row r="14" ht="15" customHeight="1" s="47">
      <c r="A14" s="63">
        <f>Tracado_Perdas!B14</f>
        <v/>
      </c>
      <c r="B14" s="67">
        <f>Tensoes!I14+(Esforcos!E14+Dados!$C$35*Esforcos!F14)/Dados!$C$10/1000</f>
        <v/>
      </c>
      <c r="C14" s="67">
        <f>Tensoes!J14-(Esforcos!E14+Dados!$C$35*Esforcos!G14)/Dados!$C$10/1000</f>
        <v/>
      </c>
      <c r="D14" s="67">
        <f>Tensoes!M14</f>
        <v/>
      </c>
      <c r="E14" s="67">
        <f>Tensoes!N14</f>
        <v/>
      </c>
      <c r="F14" s="67">
        <f>Tensoes!O14</f>
        <v/>
      </c>
      <c r="G14" s="67">
        <f>Tensoes!P14</f>
        <v/>
      </c>
      <c r="H14" s="71">
        <f>IF(AND(D14&lt;=0,E14&lt;=0),"OK","NÃO")</f>
        <v/>
      </c>
      <c r="I14" s="71">
        <f>IF(AND(F14&lt;=Dados!$C$25,G14&lt;=Dados!$C$25),"OK","NÃO")</f>
        <v/>
      </c>
      <c r="J14" s="71">
        <f>IF(AND(B14&lt;=0,C14&lt;=0),"OK","NÃO")</f>
        <v/>
      </c>
      <c r="K14" s="71">
        <f>IF(AND(D14&lt;=Dados!$C$25,E14&lt;=Dados!$C$25),"OK","NÃO")</f>
        <v/>
      </c>
      <c r="L14" s="71">
        <f>IF(MAX(D14,E14)&gt;Dados!$C$25,"fissurada: verificar wk","não fissurada")</f>
        <v/>
      </c>
    </row>
    <row r="15" ht="15" customHeight="1" s="47">
      <c r="A15" s="63">
        <f>Tracado_Perdas!B15</f>
        <v/>
      </c>
      <c r="B15" s="67">
        <f>Tensoes!I15+(Esforcos!E15+Dados!$C$35*Esforcos!F15)/Dados!$C$10/1000</f>
        <v/>
      </c>
      <c r="C15" s="67">
        <f>Tensoes!J15-(Esforcos!E15+Dados!$C$35*Esforcos!G15)/Dados!$C$10/1000</f>
        <v/>
      </c>
      <c r="D15" s="67">
        <f>Tensoes!M15</f>
        <v/>
      </c>
      <c r="E15" s="67">
        <f>Tensoes!N15</f>
        <v/>
      </c>
      <c r="F15" s="67">
        <f>Tensoes!O15</f>
        <v/>
      </c>
      <c r="G15" s="67">
        <f>Tensoes!P15</f>
        <v/>
      </c>
      <c r="H15" s="71">
        <f>IF(AND(D15&lt;=0,E15&lt;=0),"OK","NÃO")</f>
        <v/>
      </c>
      <c r="I15" s="71">
        <f>IF(AND(F15&lt;=Dados!$C$25,G15&lt;=Dados!$C$25),"OK","NÃO")</f>
        <v/>
      </c>
      <c r="J15" s="71">
        <f>IF(AND(B15&lt;=0,C15&lt;=0),"OK","NÃO")</f>
        <v/>
      </c>
      <c r="K15" s="71">
        <f>IF(AND(D15&lt;=Dados!$C$25,E15&lt;=Dados!$C$25),"OK","NÃO")</f>
        <v/>
      </c>
      <c r="L15" s="71">
        <f>IF(MAX(D15,E15)&gt;Dados!$C$25,"fissurada: verificar wk","não fissurada")</f>
        <v/>
      </c>
    </row>
    <row r="16" ht="15" customHeight="1" s="47">
      <c r="A16" s="63">
        <f>Tracado_Perdas!B16</f>
        <v/>
      </c>
      <c r="B16" s="67">
        <f>Tensoes!I16+(Esforcos!E16+Dados!$C$35*Esforcos!F16)/Dados!$C$10/1000</f>
        <v/>
      </c>
      <c r="C16" s="67">
        <f>Tensoes!J16-(Esforcos!E16+Dados!$C$35*Esforcos!G16)/Dados!$C$10/1000</f>
        <v/>
      </c>
      <c r="D16" s="67">
        <f>Tensoes!M16</f>
        <v/>
      </c>
      <c r="E16" s="67">
        <f>Tensoes!N16</f>
        <v/>
      </c>
      <c r="F16" s="67">
        <f>Tensoes!O16</f>
        <v/>
      </c>
      <c r="G16" s="67">
        <f>Tensoes!P16</f>
        <v/>
      </c>
      <c r="H16" s="71">
        <f>IF(AND(D16&lt;=0,E16&lt;=0),"OK","NÃO")</f>
        <v/>
      </c>
      <c r="I16" s="71">
        <f>IF(AND(F16&lt;=Dados!$C$25,G16&lt;=Dados!$C$25),"OK","NÃO")</f>
        <v/>
      </c>
      <c r="J16" s="71">
        <f>IF(AND(B16&lt;=0,C16&lt;=0),"OK","NÃO")</f>
        <v/>
      </c>
      <c r="K16" s="71">
        <f>IF(AND(D16&lt;=Dados!$C$25,E16&lt;=Dados!$C$25),"OK","NÃO")</f>
        <v/>
      </c>
      <c r="L16" s="71">
        <f>IF(MAX(D16,E16)&gt;Dados!$C$25,"fissurada: verificar wk","não fissurada")</f>
        <v/>
      </c>
    </row>
    <row r="17" ht="15" customHeight="1" s="47">
      <c r="A17" s="63">
        <f>Tracado_Perdas!B17</f>
        <v/>
      </c>
      <c r="B17" s="67">
        <f>Tensoes!I17+(Esforcos!E17+Dados!$C$35*Esforcos!F17)/Dados!$C$10/1000</f>
        <v/>
      </c>
      <c r="C17" s="67">
        <f>Tensoes!J17-(Esforcos!E17+Dados!$C$35*Esforcos!G17)/Dados!$C$10/1000</f>
        <v/>
      </c>
      <c r="D17" s="67">
        <f>Tensoes!M17</f>
        <v/>
      </c>
      <c r="E17" s="67">
        <f>Tensoes!N17</f>
        <v/>
      </c>
      <c r="F17" s="67">
        <f>Tensoes!O17</f>
        <v/>
      </c>
      <c r="G17" s="67">
        <f>Tensoes!P17</f>
        <v/>
      </c>
      <c r="H17" s="71">
        <f>IF(AND(D17&lt;=0,E17&lt;=0),"OK","NÃO")</f>
        <v/>
      </c>
      <c r="I17" s="71">
        <f>IF(AND(F17&lt;=Dados!$C$25,G17&lt;=Dados!$C$25),"OK","NÃO")</f>
        <v/>
      </c>
      <c r="J17" s="71">
        <f>IF(AND(B17&lt;=0,C17&lt;=0),"OK","NÃO")</f>
        <v/>
      </c>
      <c r="K17" s="71">
        <f>IF(AND(D17&lt;=Dados!$C$25,E17&lt;=Dados!$C$25),"OK","NÃO")</f>
        <v/>
      </c>
      <c r="L17" s="71">
        <f>IF(MAX(D17,E17)&gt;Dados!$C$25,"fissurada: verificar wk","não fissurada")</f>
        <v/>
      </c>
    </row>
    <row r="18" ht="15" customHeight="1" s="47">
      <c r="A18" s="63">
        <f>Tracado_Perdas!B18</f>
        <v/>
      </c>
      <c r="B18" s="67">
        <f>Tensoes!I18+(Esforcos!E18+Dados!$C$35*Esforcos!F18)/Dados!$C$10/1000</f>
        <v/>
      </c>
      <c r="C18" s="67">
        <f>Tensoes!J18-(Esforcos!E18+Dados!$C$35*Esforcos!G18)/Dados!$C$10/1000</f>
        <v/>
      </c>
      <c r="D18" s="67">
        <f>Tensoes!M18</f>
        <v/>
      </c>
      <c r="E18" s="67">
        <f>Tensoes!N18</f>
        <v/>
      </c>
      <c r="F18" s="67">
        <f>Tensoes!O18</f>
        <v/>
      </c>
      <c r="G18" s="67">
        <f>Tensoes!P18</f>
        <v/>
      </c>
      <c r="H18" s="71">
        <f>IF(AND(D18&lt;=0,E18&lt;=0),"OK","NÃO")</f>
        <v/>
      </c>
      <c r="I18" s="71">
        <f>IF(AND(F18&lt;=Dados!$C$25,G18&lt;=Dados!$C$25),"OK","NÃO")</f>
        <v/>
      </c>
      <c r="J18" s="71">
        <f>IF(AND(B18&lt;=0,C18&lt;=0),"OK","NÃO")</f>
        <v/>
      </c>
      <c r="K18" s="71">
        <f>IF(AND(D18&lt;=Dados!$C$25,E18&lt;=Dados!$C$25),"OK","NÃO")</f>
        <v/>
      </c>
      <c r="L18" s="71">
        <f>IF(MAX(D18,E18)&gt;Dados!$C$25,"fissurada: verificar wk","não fissurada")</f>
        <v/>
      </c>
    </row>
    <row r="19" ht="15" customHeight="1" s="47">
      <c r="A19" s="63">
        <f>Tracado_Perdas!B19</f>
        <v/>
      </c>
      <c r="B19" s="67">
        <f>Tensoes!I19+(Esforcos!E19+Dados!$C$35*Esforcos!F19)/Dados!$C$10/1000</f>
        <v/>
      </c>
      <c r="C19" s="67">
        <f>Tensoes!J19-(Esforcos!E19+Dados!$C$35*Esforcos!G19)/Dados!$C$10/1000</f>
        <v/>
      </c>
      <c r="D19" s="67">
        <f>Tensoes!M19</f>
        <v/>
      </c>
      <c r="E19" s="67">
        <f>Tensoes!N19</f>
        <v/>
      </c>
      <c r="F19" s="67">
        <f>Tensoes!O19</f>
        <v/>
      </c>
      <c r="G19" s="67">
        <f>Tensoes!P19</f>
        <v/>
      </c>
      <c r="H19" s="71">
        <f>IF(AND(D19&lt;=0,E19&lt;=0),"OK","NÃO")</f>
        <v/>
      </c>
      <c r="I19" s="71">
        <f>IF(AND(F19&lt;=Dados!$C$25,G19&lt;=Dados!$C$25),"OK","NÃO")</f>
        <v/>
      </c>
      <c r="J19" s="71">
        <f>IF(AND(B19&lt;=0,C19&lt;=0),"OK","NÃO")</f>
        <v/>
      </c>
      <c r="K19" s="71">
        <f>IF(AND(D19&lt;=Dados!$C$25,E19&lt;=Dados!$C$25),"OK","NÃO")</f>
        <v/>
      </c>
      <c r="L19" s="71">
        <f>IF(MAX(D19,E19)&gt;Dados!$C$25,"fissurada: verificar wk","não fissurada")</f>
        <v/>
      </c>
    </row>
    <row r="20" ht="15" customHeight="1" s="47">
      <c r="A20" s="63">
        <f>Tracado_Perdas!B20</f>
        <v/>
      </c>
      <c r="B20" s="67">
        <f>Tensoes!I20+(Esforcos!E20+Dados!$C$35*Esforcos!F20)/Dados!$C$10/1000</f>
        <v/>
      </c>
      <c r="C20" s="67">
        <f>Tensoes!J20-(Esforcos!E20+Dados!$C$35*Esforcos!G20)/Dados!$C$10/1000</f>
        <v/>
      </c>
      <c r="D20" s="67">
        <f>Tensoes!M20</f>
        <v/>
      </c>
      <c r="E20" s="67">
        <f>Tensoes!N20</f>
        <v/>
      </c>
      <c r="F20" s="67">
        <f>Tensoes!O20</f>
        <v/>
      </c>
      <c r="G20" s="67">
        <f>Tensoes!P20</f>
        <v/>
      </c>
      <c r="H20" s="71">
        <f>IF(AND(D20&lt;=0,E20&lt;=0),"OK","NÃO")</f>
        <v/>
      </c>
      <c r="I20" s="71">
        <f>IF(AND(F20&lt;=Dados!$C$25,G20&lt;=Dados!$C$25),"OK","NÃO")</f>
        <v/>
      </c>
      <c r="J20" s="71">
        <f>IF(AND(B20&lt;=0,C20&lt;=0),"OK","NÃO")</f>
        <v/>
      </c>
      <c r="K20" s="71">
        <f>IF(AND(D20&lt;=Dados!$C$25,E20&lt;=Dados!$C$25),"OK","NÃO")</f>
        <v/>
      </c>
      <c r="L20" s="71">
        <f>IF(MAX(D20,E20)&gt;Dados!$C$25,"fissurada: verificar wk","não fissurada")</f>
        <v/>
      </c>
    </row>
    <row r="21" ht="15" customHeight="1" s="47">
      <c r="A21" s="63">
        <f>Tracado_Perdas!B21</f>
        <v/>
      </c>
      <c r="B21" s="67">
        <f>Tensoes!I21+(Esforcos!E21+Dados!$C$35*Esforcos!F21)/Dados!$C$10/1000</f>
        <v/>
      </c>
      <c r="C21" s="67">
        <f>Tensoes!J21-(Esforcos!E21+Dados!$C$35*Esforcos!G21)/Dados!$C$10/1000</f>
        <v/>
      </c>
      <c r="D21" s="67">
        <f>Tensoes!M21</f>
        <v/>
      </c>
      <c r="E21" s="67">
        <f>Tensoes!N21</f>
        <v/>
      </c>
      <c r="F21" s="67">
        <f>Tensoes!O21</f>
        <v/>
      </c>
      <c r="G21" s="67">
        <f>Tensoes!P21</f>
        <v/>
      </c>
      <c r="H21" s="71">
        <f>IF(AND(D21&lt;=0,E21&lt;=0),"OK","NÃO")</f>
        <v/>
      </c>
      <c r="I21" s="71">
        <f>IF(AND(F21&lt;=Dados!$C$25,G21&lt;=Dados!$C$25),"OK","NÃO")</f>
        <v/>
      </c>
      <c r="J21" s="71">
        <f>IF(AND(B21&lt;=0,C21&lt;=0),"OK","NÃO")</f>
        <v/>
      </c>
      <c r="K21" s="71">
        <f>IF(AND(D21&lt;=Dados!$C$25,E21&lt;=Dados!$C$25),"OK","NÃO")</f>
        <v/>
      </c>
      <c r="L21" s="71">
        <f>IF(MAX(D21,E21)&gt;Dados!$C$25,"fissurada: verificar wk","não fissurada")</f>
        <v/>
      </c>
    </row>
    <row r="22" ht="15" customHeight="1" s="47">
      <c r="A22" s="63">
        <f>Tracado_Perdas!B22</f>
        <v/>
      </c>
      <c r="B22" s="67">
        <f>Tensoes!I22+(Esforcos!E22+Dados!$C$35*Esforcos!F22)/Dados!$C$10/1000</f>
        <v/>
      </c>
      <c r="C22" s="67">
        <f>Tensoes!J22-(Esforcos!E22+Dados!$C$35*Esforcos!G22)/Dados!$C$10/1000</f>
        <v/>
      </c>
      <c r="D22" s="67">
        <f>Tensoes!M22</f>
        <v/>
      </c>
      <c r="E22" s="67">
        <f>Tensoes!N22</f>
        <v/>
      </c>
      <c r="F22" s="67">
        <f>Tensoes!O22</f>
        <v/>
      </c>
      <c r="G22" s="67">
        <f>Tensoes!P22</f>
        <v/>
      </c>
      <c r="H22" s="71">
        <f>IF(AND(D22&lt;=0,E22&lt;=0),"OK","NÃO")</f>
        <v/>
      </c>
      <c r="I22" s="71">
        <f>IF(AND(F22&lt;=Dados!$C$25,G22&lt;=Dados!$C$25),"OK","NÃO")</f>
        <v/>
      </c>
      <c r="J22" s="71">
        <f>IF(AND(B22&lt;=0,C22&lt;=0),"OK","NÃO")</f>
        <v/>
      </c>
      <c r="K22" s="71">
        <f>IF(AND(D22&lt;=Dados!$C$25,E22&lt;=Dados!$C$25),"OK","NÃO")</f>
        <v/>
      </c>
      <c r="L22" s="71">
        <f>IF(MAX(D22,E22)&gt;Dados!$C$25,"fissurada: verificar wk","não fissurada")</f>
        <v/>
      </c>
    </row>
    <row r="23" ht="15" customHeight="1" s="47">
      <c r="A23" s="63">
        <f>Tracado_Perdas!B23</f>
        <v/>
      </c>
      <c r="B23" s="67">
        <f>Tensoes!I23+(Esforcos!E23+Dados!$C$35*Esforcos!F23)/Dados!$C$10/1000</f>
        <v/>
      </c>
      <c r="C23" s="67">
        <f>Tensoes!J23-(Esforcos!E23+Dados!$C$35*Esforcos!G23)/Dados!$C$10/1000</f>
        <v/>
      </c>
      <c r="D23" s="67">
        <f>Tensoes!M23</f>
        <v/>
      </c>
      <c r="E23" s="67">
        <f>Tensoes!N23</f>
        <v/>
      </c>
      <c r="F23" s="67">
        <f>Tensoes!O23</f>
        <v/>
      </c>
      <c r="G23" s="67">
        <f>Tensoes!P23</f>
        <v/>
      </c>
      <c r="H23" s="71">
        <f>IF(AND(D23&lt;=0,E23&lt;=0),"OK","NÃO")</f>
        <v/>
      </c>
      <c r="I23" s="71">
        <f>IF(AND(F23&lt;=Dados!$C$25,G23&lt;=Dados!$C$25),"OK","NÃO")</f>
        <v/>
      </c>
      <c r="J23" s="71">
        <f>IF(AND(B23&lt;=0,C23&lt;=0),"OK","NÃO")</f>
        <v/>
      </c>
      <c r="K23" s="71">
        <f>IF(AND(D23&lt;=Dados!$C$25,E23&lt;=Dados!$C$25),"OK","NÃO")</f>
        <v/>
      </c>
      <c r="L23" s="71">
        <f>IF(MAX(D23,E23)&gt;Dados!$C$25,"fissurada: verificar wk","não fissurada")</f>
        <v/>
      </c>
    </row>
    <row r="24" ht="15" customHeight="1" s="47">
      <c r="A24" s="63">
        <f>Tracado_Perdas!B24</f>
        <v/>
      </c>
      <c r="B24" s="67">
        <f>Tensoes!I24+(Esforcos!E24+Dados!$C$35*Esforcos!F24)/Dados!$C$10/1000</f>
        <v/>
      </c>
      <c r="C24" s="67">
        <f>Tensoes!J24-(Esforcos!E24+Dados!$C$35*Esforcos!G24)/Dados!$C$10/1000</f>
        <v/>
      </c>
      <c r="D24" s="67">
        <f>Tensoes!M24</f>
        <v/>
      </c>
      <c r="E24" s="67">
        <f>Tensoes!N24</f>
        <v/>
      </c>
      <c r="F24" s="67">
        <f>Tensoes!O24</f>
        <v/>
      </c>
      <c r="G24" s="67">
        <f>Tensoes!P24</f>
        <v/>
      </c>
      <c r="H24" s="71">
        <f>IF(AND(D24&lt;=0,E24&lt;=0),"OK","NÃO")</f>
        <v/>
      </c>
      <c r="I24" s="71">
        <f>IF(AND(F24&lt;=Dados!$C$25,G24&lt;=Dados!$C$25),"OK","NÃO")</f>
        <v/>
      </c>
      <c r="J24" s="71">
        <f>IF(AND(B24&lt;=0,C24&lt;=0),"OK","NÃO")</f>
        <v/>
      </c>
      <c r="K24" s="71">
        <f>IF(AND(D24&lt;=Dados!$C$25,E24&lt;=Dados!$C$25),"OK","NÃO")</f>
        <v/>
      </c>
      <c r="L24" s="71">
        <f>IF(MAX(D24,E24)&gt;Dados!$C$25,"fissurada: verificar wk","não fissurada")</f>
        <v/>
      </c>
    </row>
    <row r="25" ht="15" customHeight="1" s="47">
      <c r="A25" s="63">
        <f>Tracado_Perdas!B25</f>
        <v/>
      </c>
      <c r="B25" s="67">
        <f>Tensoes!I25+(Esforcos!E25+Dados!$C$35*Esforcos!F25)/Dados!$C$10/1000</f>
        <v/>
      </c>
      <c r="C25" s="67">
        <f>Tensoes!J25-(Esforcos!E25+Dados!$C$35*Esforcos!G25)/Dados!$C$10/1000</f>
        <v/>
      </c>
      <c r="D25" s="67">
        <f>Tensoes!M25</f>
        <v/>
      </c>
      <c r="E25" s="67">
        <f>Tensoes!N25</f>
        <v/>
      </c>
      <c r="F25" s="67">
        <f>Tensoes!O25</f>
        <v/>
      </c>
      <c r="G25" s="67">
        <f>Tensoes!P25</f>
        <v/>
      </c>
      <c r="H25" s="71">
        <f>IF(AND(D25&lt;=0,E25&lt;=0),"OK","NÃO")</f>
        <v/>
      </c>
      <c r="I25" s="71">
        <f>IF(AND(F25&lt;=Dados!$C$25,G25&lt;=Dados!$C$25),"OK","NÃO")</f>
        <v/>
      </c>
      <c r="J25" s="71">
        <f>IF(AND(B25&lt;=0,C25&lt;=0),"OK","NÃO")</f>
        <v/>
      </c>
      <c r="K25" s="71">
        <f>IF(AND(D25&lt;=Dados!$C$25,E25&lt;=Dados!$C$25),"OK","NÃO")</f>
        <v/>
      </c>
      <c r="L25" s="71">
        <f>IF(MAX(D25,E25)&gt;Dados!$C$25,"fissurada: verificar wk","não fissurada")</f>
        <v/>
      </c>
    </row>
    <row r="26" ht="15" customHeight="1" s="47">
      <c r="A26" s="63">
        <f>Tracado_Perdas!B26</f>
        <v/>
      </c>
      <c r="B26" s="67">
        <f>Tensoes!I26+(Esforcos!E26+Dados!$C$35*Esforcos!F26)/Dados!$C$10/1000</f>
        <v/>
      </c>
      <c r="C26" s="67">
        <f>Tensoes!J26-(Esforcos!E26+Dados!$C$35*Esforcos!G26)/Dados!$C$10/1000</f>
        <v/>
      </c>
      <c r="D26" s="67">
        <f>Tensoes!M26</f>
        <v/>
      </c>
      <c r="E26" s="67">
        <f>Tensoes!N26</f>
        <v/>
      </c>
      <c r="F26" s="67">
        <f>Tensoes!O26</f>
        <v/>
      </c>
      <c r="G26" s="67">
        <f>Tensoes!P26</f>
        <v/>
      </c>
      <c r="H26" s="71">
        <f>IF(AND(D26&lt;=0,E26&lt;=0),"OK","NÃO")</f>
        <v/>
      </c>
      <c r="I26" s="71">
        <f>IF(AND(F26&lt;=Dados!$C$25,G26&lt;=Dados!$C$25),"OK","NÃO")</f>
        <v/>
      </c>
      <c r="J26" s="71">
        <f>IF(AND(B26&lt;=0,C26&lt;=0),"OK","NÃO")</f>
        <v/>
      </c>
      <c r="K26" s="71">
        <f>IF(AND(D26&lt;=Dados!$C$25,E26&lt;=Dados!$C$25),"OK","NÃO")</f>
        <v/>
      </c>
      <c r="L26" s="71">
        <f>IF(MAX(D26,E26)&gt;Dados!$C$25,"fissurada: verificar wk","não fissurada")</f>
        <v/>
      </c>
    </row>
    <row r="27" ht="15" customHeight="1" s="47">
      <c r="A27" s="63">
        <f>Tracado_Perdas!B27</f>
        <v/>
      </c>
      <c r="B27" s="67">
        <f>Tensoes!I27+(Esforcos!E27+Dados!$C$35*Esforcos!F27)/Dados!$C$10/1000</f>
        <v/>
      </c>
      <c r="C27" s="67">
        <f>Tensoes!J27-(Esforcos!E27+Dados!$C$35*Esforcos!G27)/Dados!$C$10/1000</f>
        <v/>
      </c>
      <c r="D27" s="67">
        <f>Tensoes!M27</f>
        <v/>
      </c>
      <c r="E27" s="67">
        <f>Tensoes!N27</f>
        <v/>
      </c>
      <c r="F27" s="67">
        <f>Tensoes!O27</f>
        <v/>
      </c>
      <c r="G27" s="67">
        <f>Tensoes!P27</f>
        <v/>
      </c>
      <c r="H27" s="71">
        <f>IF(AND(D27&lt;=0,E27&lt;=0),"OK","NÃO")</f>
        <v/>
      </c>
      <c r="I27" s="71">
        <f>IF(AND(F27&lt;=Dados!$C$25,G27&lt;=Dados!$C$25),"OK","NÃO")</f>
        <v/>
      </c>
      <c r="J27" s="71">
        <f>IF(AND(B27&lt;=0,C27&lt;=0),"OK","NÃO")</f>
        <v/>
      </c>
      <c r="K27" s="71">
        <f>IF(AND(D27&lt;=Dados!$C$25,E27&lt;=Dados!$C$25),"OK","NÃO")</f>
        <v/>
      </c>
      <c r="L27" s="71">
        <f>IF(MAX(D27,E27)&gt;Dados!$C$25,"fissurada: verificar wk","não fissurada")</f>
        <v/>
      </c>
    </row>
    <row r="28" ht="15" customHeight="1" s="47">
      <c r="A28" s="63">
        <f>Tracado_Perdas!B28</f>
        <v/>
      </c>
      <c r="B28" s="67">
        <f>Tensoes!I28+(Esforcos!E28+Dados!$C$35*Esforcos!F28)/Dados!$C$10/1000</f>
        <v/>
      </c>
      <c r="C28" s="67">
        <f>Tensoes!J28-(Esforcos!E28+Dados!$C$35*Esforcos!G28)/Dados!$C$10/1000</f>
        <v/>
      </c>
      <c r="D28" s="67">
        <f>Tensoes!M28</f>
        <v/>
      </c>
      <c r="E28" s="67">
        <f>Tensoes!N28</f>
        <v/>
      </c>
      <c r="F28" s="67">
        <f>Tensoes!O28</f>
        <v/>
      </c>
      <c r="G28" s="67">
        <f>Tensoes!P28</f>
        <v/>
      </c>
      <c r="H28" s="71">
        <f>IF(AND(D28&lt;=0,E28&lt;=0),"OK","NÃO")</f>
        <v/>
      </c>
      <c r="I28" s="71">
        <f>IF(AND(F28&lt;=Dados!$C$25,G28&lt;=Dados!$C$25),"OK","NÃO")</f>
        <v/>
      </c>
      <c r="J28" s="71">
        <f>IF(AND(B28&lt;=0,C28&lt;=0),"OK","NÃO")</f>
        <v/>
      </c>
      <c r="K28" s="71">
        <f>IF(AND(D28&lt;=Dados!$C$25,E28&lt;=Dados!$C$25),"OK","NÃO")</f>
        <v/>
      </c>
      <c r="L28" s="71">
        <f>IF(MAX(D28,E28)&gt;Dados!$C$25,"fissurada: verificar wk","não fissurada")</f>
        <v/>
      </c>
    </row>
    <row r="29" ht="15" customHeight="1" s="47">
      <c r="A29" s="63">
        <f>Tracado_Perdas!B29</f>
        <v/>
      </c>
      <c r="B29" s="67">
        <f>Tensoes!I29+(Esforcos!E29+Dados!$C$35*Esforcos!F29)/Dados!$C$10/1000</f>
        <v/>
      </c>
      <c r="C29" s="67">
        <f>Tensoes!J29-(Esforcos!E29+Dados!$C$35*Esforcos!G29)/Dados!$C$10/1000</f>
        <v/>
      </c>
      <c r="D29" s="67">
        <f>Tensoes!M29</f>
        <v/>
      </c>
      <c r="E29" s="67">
        <f>Tensoes!N29</f>
        <v/>
      </c>
      <c r="F29" s="67">
        <f>Tensoes!O29</f>
        <v/>
      </c>
      <c r="G29" s="67">
        <f>Tensoes!P29</f>
        <v/>
      </c>
      <c r="H29" s="71">
        <f>IF(AND(D29&lt;=0,E29&lt;=0),"OK","NÃO")</f>
        <v/>
      </c>
      <c r="I29" s="71">
        <f>IF(AND(F29&lt;=Dados!$C$25,G29&lt;=Dados!$C$25),"OK","NÃO")</f>
        <v/>
      </c>
      <c r="J29" s="71">
        <f>IF(AND(B29&lt;=0,C29&lt;=0),"OK","NÃO")</f>
        <v/>
      </c>
      <c r="K29" s="71">
        <f>IF(AND(D29&lt;=Dados!$C$25,E29&lt;=Dados!$C$25),"OK","NÃO")</f>
        <v/>
      </c>
      <c r="L29" s="71">
        <f>IF(MAX(D29,E29)&gt;Dados!$C$25,"fissurada: verificar wk","não fissurada")</f>
        <v/>
      </c>
    </row>
    <row r="30" ht="15" customHeight="1" s="47">
      <c r="A30" s="63">
        <f>Tracado_Perdas!B30</f>
        <v/>
      </c>
      <c r="B30" s="67">
        <f>Tensoes!I30+(Esforcos!E30+Dados!$C$35*Esforcos!F30)/Dados!$C$10/1000</f>
        <v/>
      </c>
      <c r="C30" s="67">
        <f>Tensoes!J30-(Esforcos!E30+Dados!$C$35*Esforcos!G30)/Dados!$C$10/1000</f>
        <v/>
      </c>
      <c r="D30" s="67">
        <f>Tensoes!M30</f>
        <v/>
      </c>
      <c r="E30" s="67">
        <f>Tensoes!N30</f>
        <v/>
      </c>
      <c r="F30" s="67">
        <f>Tensoes!O30</f>
        <v/>
      </c>
      <c r="G30" s="67">
        <f>Tensoes!P30</f>
        <v/>
      </c>
      <c r="H30" s="71">
        <f>IF(AND(D30&lt;=0,E30&lt;=0),"OK","NÃO")</f>
        <v/>
      </c>
      <c r="I30" s="71">
        <f>IF(AND(F30&lt;=Dados!$C$25,G30&lt;=Dados!$C$25),"OK","NÃO")</f>
        <v/>
      </c>
      <c r="J30" s="71">
        <f>IF(AND(B30&lt;=0,C30&lt;=0),"OK","NÃO")</f>
        <v/>
      </c>
      <c r="K30" s="71">
        <f>IF(AND(D30&lt;=Dados!$C$25,E30&lt;=Dados!$C$25),"OK","NÃO")</f>
        <v/>
      </c>
      <c r="L30" s="71">
        <f>IF(MAX(D30,E30)&gt;Dados!$C$25,"fissurada: verificar wk","não fissurada")</f>
        <v/>
      </c>
    </row>
    <row r="31" ht="15" customHeight="1" s="47">
      <c r="A31" s="63">
        <f>Tracado_Perdas!B31</f>
        <v/>
      </c>
      <c r="B31" s="67">
        <f>Tensoes!I31+(Esforcos!E31+Dados!$C$35*Esforcos!F31)/Dados!$C$10/1000</f>
        <v/>
      </c>
      <c r="C31" s="67">
        <f>Tensoes!J31-(Esforcos!E31+Dados!$C$35*Esforcos!G31)/Dados!$C$10/1000</f>
        <v/>
      </c>
      <c r="D31" s="67">
        <f>Tensoes!M31</f>
        <v/>
      </c>
      <c r="E31" s="67">
        <f>Tensoes!N31</f>
        <v/>
      </c>
      <c r="F31" s="67">
        <f>Tensoes!O31</f>
        <v/>
      </c>
      <c r="G31" s="67">
        <f>Tensoes!P31</f>
        <v/>
      </c>
      <c r="H31" s="71">
        <f>IF(AND(D31&lt;=0,E31&lt;=0),"OK","NÃO")</f>
        <v/>
      </c>
      <c r="I31" s="71">
        <f>IF(AND(F31&lt;=Dados!$C$25,G31&lt;=Dados!$C$25),"OK","NÃO")</f>
        <v/>
      </c>
      <c r="J31" s="71">
        <f>IF(AND(B31&lt;=0,C31&lt;=0),"OK","NÃO")</f>
        <v/>
      </c>
      <c r="K31" s="71">
        <f>IF(AND(D31&lt;=Dados!$C$25,E31&lt;=Dados!$C$25),"OK","NÃO")</f>
        <v/>
      </c>
      <c r="L31" s="71">
        <f>IF(MAX(D31,E31)&gt;Dados!$C$25,"fissurada: verificar wk","não fissurada")</f>
        <v/>
      </c>
    </row>
    <row r="32" ht="15" customHeight="1" s="47">
      <c r="A32" s="63">
        <f>Tracado_Perdas!B32</f>
        <v/>
      </c>
      <c r="B32" s="67">
        <f>Tensoes!I32+(Esforcos!E32+Dados!$C$35*Esforcos!F32)/Dados!$C$10/1000</f>
        <v/>
      </c>
      <c r="C32" s="67">
        <f>Tensoes!J32-(Esforcos!E32+Dados!$C$35*Esforcos!G32)/Dados!$C$10/1000</f>
        <v/>
      </c>
      <c r="D32" s="67">
        <f>Tensoes!M32</f>
        <v/>
      </c>
      <c r="E32" s="67">
        <f>Tensoes!N32</f>
        <v/>
      </c>
      <c r="F32" s="67">
        <f>Tensoes!O32</f>
        <v/>
      </c>
      <c r="G32" s="67">
        <f>Tensoes!P32</f>
        <v/>
      </c>
      <c r="H32" s="71">
        <f>IF(AND(D32&lt;=0,E32&lt;=0),"OK","NÃO")</f>
        <v/>
      </c>
      <c r="I32" s="71">
        <f>IF(AND(F32&lt;=Dados!$C$25,G32&lt;=Dados!$C$25),"OK","NÃO")</f>
        <v/>
      </c>
      <c r="J32" s="71">
        <f>IF(AND(B32&lt;=0,C32&lt;=0),"OK","NÃO")</f>
        <v/>
      </c>
      <c r="K32" s="71">
        <f>IF(AND(D32&lt;=Dados!$C$25,E32&lt;=Dados!$C$25),"OK","NÃO")</f>
        <v/>
      </c>
      <c r="L32" s="71">
        <f>IF(MAX(D32,E32)&gt;Dados!$C$25,"fissurada: verificar wk","não fissurada")</f>
        <v/>
      </c>
    </row>
    <row r="33" ht="15" customHeight="1" s="47">
      <c r="A33" s="63">
        <f>Tracado_Perdas!B33</f>
        <v/>
      </c>
      <c r="B33" s="67">
        <f>Tensoes!I33+(Esforcos!E33+Dados!$C$35*Esforcos!F33)/Dados!$C$10/1000</f>
        <v/>
      </c>
      <c r="C33" s="67">
        <f>Tensoes!J33-(Esforcos!E33+Dados!$C$35*Esforcos!G33)/Dados!$C$10/1000</f>
        <v/>
      </c>
      <c r="D33" s="67">
        <f>Tensoes!M33</f>
        <v/>
      </c>
      <c r="E33" s="67">
        <f>Tensoes!N33</f>
        <v/>
      </c>
      <c r="F33" s="67">
        <f>Tensoes!O33</f>
        <v/>
      </c>
      <c r="G33" s="67">
        <f>Tensoes!P33</f>
        <v/>
      </c>
      <c r="H33" s="71">
        <f>IF(AND(D33&lt;=0,E33&lt;=0),"OK","NÃO")</f>
        <v/>
      </c>
      <c r="I33" s="71">
        <f>IF(AND(F33&lt;=Dados!$C$25,G33&lt;=Dados!$C$25),"OK","NÃO")</f>
        <v/>
      </c>
      <c r="J33" s="71">
        <f>IF(AND(B33&lt;=0,C33&lt;=0),"OK","NÃO")</f>
        <v/>
      </c>
      <c r="K33" s="71">
        <f>IF(AND(D33&lt;=Dados!$C$25,E33&lt;=Dados!$C$25),"OK","NÃO")</f>
        <v/>
      </c>
      <c r="L33" s="71">
        <f>IF(MAX(D33,E33)&gt;Dados!$C$25,"fissurada: verificar wk","não fissurada")</f>
        <v/>
      </c>
    </row>
    <row r="34" ht="15" customHeight="1" s="47">
      <c r="A34" s="63">
        <f>Tracado_Perdas!B34</f>
        <v/>
      </c>
      <c r="B34" s="67">
        <f>Tensoes!I34+(Esforcos!E34+Dados!$C$35*Esforcos!F34)/Dados!$C$10/1000</f>
        <v/>
      </c>
      <c r="C34" s="67">
        <f>Tensoes!J34-(Esforcos!E34+Dados!$C$35*Esforcos!G34)/Dados!$C$10/1000</f>
        <v/>
      </c>
      <c r="D34" s="67">
        <f>Tensoes!M34</f>
        <v/>
      </c>
      <c r="E34" s="67">
        <f>Tensoes!N34</f>
        <v/>
      </c>
      <c r="F34" s="67">
        <f>Tensoes!O34</f>
        <v/>
      </c>
      <c r="G34" s="67">
        <f>Tensoes!P34</f>
        <v/>
      </c>
      <c r="H34" s="71">
        <f>IF(AND(D34&lt;=0,E34&lt;=0),"OK","NÃO")</f>
        <v/>
      </c>
      <c r="I34" s="71">
        <f>IF(AND(F34&lt;=Dados!$C$25,G34&lt;=Dados!$C$25),"OK","NÃO")</f>
        <v/>
      </c>
      <c r="J34" s="71">
        <f>IF(AND(B34&lt;=0,C34&lt;=0),"OK","NÃO")</f>
        <v/>
      </c>
      <c r="K34" s="71">
        <f>IF(AND(D34&lt;=Dados!$C$25,E34&lt;=Dados!$C$25),"OK","NÃO")</f>
        <v/>
      </c>
      <c r="L34" s="71">
        <f>IF(MAX(D34,E34)&gt;Dados!$C$25,"fissurada: verificar wk","não fissurada")</f>
        <v/>
      </c>
    </row>
    <row r="35" ht="15" customHeight="1" s="47">
      <c r="A35" s="63">
        <f>Tracado_Perdas!B35</f>
        <v/>
      </c>
      <c r="B35" s="67">
        <f>Tensoes!I35+(Esforcos!E35+Dados!$C$35*Esforcos!F35)/Dados!$C$10/1000</f>
        <v/>
      </c>
      <c r="C35" s="67">
        <f>Tensoes!J35-(Esforcos!E35+Dados!$C$35*Esforcos!G35)/Dados!$C$10/1000</f>
        <v/>
      </c>
      <c r="D35" s="67">
        <f>Tensoes!M35</f>
        <v/>
      </c>
      <c r="E35" s="67">
        <f>Tensoes!N35</f>
        <v/>
      </c>
      <c r="F35" s="67">
        <f>Tensoes!O35</f>
        <v/>
      </c>
      <c r="G35" s="67">
        <f>Tensoes!P35</f>
        <v/>
      </c>
      <c r="H35" s="71">
        <f>IF(AND(D35&lt;=0,E35&lt;=0),"OK","NÃO")</f>
        <v/>
      </c>
      <c r="I35" s="71">
        <f>IF(AND(F35&lt;=Dados!$C$25,G35&lt;=Dados!$C$25),"OK","NÃO")</f>
        <v/>
      </c>
      <c r="J35" s="71">
        <f>IF(AND(B35&lt;=0,C35&lt;=0),"OK","NÃO")</f>
        <v/>
      </c>
      <c r="K35" s="71">
        <f>IF(AND(D35&lt;=Dados!$C$25,E35&lt;=Dados!$C$25),"OK","NÃO")</f>
        <v/>
      </c>
      <c r="L35" s="71">
        <f>IF(MAX(D35,E35)&gt;Dados!$C$25,"fissurada: verificar wk","não fissurada")</f>
        <v/>
      </c>
    </row>
    <row r="36" ht="15" customHeight="1" s="47">
      <c r="A36" s="63">
        <f>Tracado_Perdas!B36</f>
        <v/>
      </c>
      <c r="B36" s="67">
        <f>Tensoes!I36+(Esforcos!E36+Dados!$C$35*Esforcos!F36)/Dados!$C$10/1000</f>
        <v/>
      </c>
      <c r="C36" s="67">
        <f>Tensoes!J36-(Esforcos!E36+Dados!$C$35*Esforcos!G36)/Dados!$C$10/1000</f>
        <v/>
      </c>
      <c r="D36" s="67">
        <f>Tensoes!M36</f>
        <v/>
      </c>
      <c r="E36" s="67">
        <f>Tensoes!N36</f>
        <v/>
      </c>
      <c r="F36" s="67">
        <f>Tensoes!O36</f>
        <v/>
      </c>
      <c r="G36" s="67">
        <f>Tensoes!P36</f>
        <v/>
      </c>
      <c r="H36" s="71">
        <f>IF(AND(D36&lt;=0,E36&lt;=0),"OK","NÃO")</f>
        <v/>
      </c>
      <c r="I36" s="71">
        <f>IF(AND(F36&lt;=Dados!$C$25,G36&lt;=Dados!$C$25),"OK","NÃO")</f>
        <v/>
      </c>
      <c r="J36" s="71">
        <f>IF(AND(B36&lt;=0,C36&lt;=0),"OK","NÃO")</f>
        <v/>
      </c>
      <c r="K36" s="71">
        <f>IF(AND(D36&lt;=Dados!$C$25,E36&lt;=Dados!$C$25),"OK","NÃO")</f>
        <v/>
      </c>
      <c r="L36" s="71">
        <f>IF(MAX(D36,E36)&gt;Dados!$C$25,"fissurada: verificar wk","não fissurada")</f>
        <v/>
      </c>
    </row>
    <row r="37" ht="15" customHeight="1" s="47">
      <c r="A37" s="63">
        <f>Tracado_Perdas!B37</f>
        <v/>
      </c>
      <c r="B37" s="67">
        <f>Tensoes!I37+(Esforcos!E37+Dados!$C$35*Esforcos!F37)/Dados!$C$10/1000</f>
        <v/>
      </c>
      <c r="C37" s="67">
        <f>Tensoes!J37-(Esforcos!E37+Dados!$C$35*Esforcos!G37)/Dados!$C$10/1000</f>
        <v/>
      </c>
      <c r="D37" s="67">
        <f>Tensoes!M37</f>
        <v/>
      </c>
      <c r="E37" s="67">
        <f>Tensoes!N37</f>
        <v/>
      </c>
      <c r="F37" s="67">
        <f>Tensoes!O37</f>
        <v/>
      </c>
      <c r="G37" s="67">
        <f>Tensoes!P37</f>
        <v/>
      </c>
      <c r="H37" s="71">
        <f>IF(AND(D37&lt;=0,E37&lt;=0),"OK","NÃO")</f>
        <v/>
      </c>
      <c r="I37" s="71">
        <f>IF(AND(F37&lt;=Dados!$C$25,G37&lt;=Dados!$C$25),"OK","NÃO")</f>
        <v/>
      </c>
      <c r="J37" s="71">
        <f>IF(AND(B37&lt;=0,C37&lt;=0),"OK","NÃO")</f>
        <v/>
      </c>
      <c r="K37" s="71">
        <f>IF(AND(D37&lt;=Dados!$C$25,E37&lt;=Dados!$C$25),"OK","NÃO")</f>
        <v/>
      </c>
      <c r="L37" s="71">
        <f>IF(MAX(D37,E37)&gt;Dados!$C$25,"fissurada: verificar wk","não fissurada")</f>
        <v/>
      </c>
    </row>
    <row r="38" ht="15" customHeight="1" s="47">
      <c r="A38" s="63">
        <f>Tracado_Perdas!B38</f>
        <v/>
      </c>
      <c r="B38" s="67">
        <f>Tensoes!I38+(Esforcos!E38+Dados!$C$35*Esforcos!F38)/Dados!$C$10/1000</f>
        <v/>
      </c>
      <c r="C38" s="67">
        <f>Tensoes!J38-(Esforcos!E38+Dados!$C$35*Esforcos!G38)/Dados!$C$10/1000</f>
        <v/>
      </c>
      <c r="D38" s="67">
        <f>Tensoes!M38</f>
        <v/>
      </c>
      <c r="E38" s="67">
        <f>Tensoes!N38</f>
        <v/>
      </c>
      <c r="F38" s="67">
        <f>Tensoes!O38</f>
        <v/>
      </c>
      <c r="G38" s="67">
        <f>Tensoes!P38</f>
        <v/>
      </c>
      <c r="H38" s="71">
        <f>IF(AND(D38&lt;=0,E38&lt;=0),"OK","NÃO")</f>
        <v/>
      </c>
      <c r="I38" s="71">
        <f>IF(AND(F38&lt;=Dados!$C$25,G38&lt;=Dados!$C$25),"OK","NÃO")</f>
        <v/>
      </c>
      <c r="J38" s="71">
        <f>IF(AND(B38&lt;=0,C38&lt;=0),"OK","NÃO")</f>
        <v/>
      </c>
      <c r="K38" s="71">
        <f>IF(AND(D38&lt;=Dados!$C$25,E38&lt;=Dados!$C$25),"OK","NÃO")</f>
        <v/>
      </c>
      <c r="L38" s="71">
        <f>IF(MAX(D38,E38)&gt;Dados!$C$25,"fissurada: verificar wk","não fissurada")</f>
        <v/>
      </c>
    </row>
    <row r="39" ht="15" customHeight="1" s="47">
      <c r="A39" s="63">
        <f>Tracado_Perdas!B39</f>
        <v/>
      </c>
      <c r="B39" s="67">
        <f>Tensoes!I39+(Esforcos!E39+Dados!$C$35*Esforcos!F39)/Dados!$C$10/1000</f>
        <v/>
      </c>
      <c r="C39" s="67">
        <f>Tensoes!J39-(Esforcos!E39+Dados!$C$35*Esforcos!G39)/Dados!$C$10/1000</f>
        <v/>
      </c>
      <c r="D39" s="67">
        <f>Tensoes!M39</f>
        <v/>
      </c>
      <c r="E39" s="67">
        <f>Tensoes!N39</f>
        <v/>
      </c>
      <c r="F39" s="67">
        <f>Tensoes!O39</f>
        <v/>
      </c>
      <c r="G39" s="67">
        <f>Tensoes!P39</f>
        <v/>
      </c>
      <c r="H39" s="71">
        <f>IF(AND(D39&lt;=0,E39&lt;=0),"OK","NÃO")</f>
        <v/>
      </c>
      <c r="I39" s="71">
        <f>IF(AND(F39&lt;=Dados!$C$25,G39&lt;=Dados!$C$25),"OK","NÃO")</f>
        <v/>
      </c>
      <c r="J39" s="71">
        <f>IF(AND(B39&lt;=0,C39&lt;=0),"OK","NÃO")</f>
        <v/>
      </c>
      <c r="K39" s="71">
        <f>IF(AND(D39&lt;=Dados!$C$25,E39&lt;=Dados!$C$25),"OK","NÃO")</f>
        <v/>
      </c>
      <c r="L39" s="71">
        <f>IF(MAX(D39,E39)&gt;Dados!$C$25,"fissurada: verificar wk","não fissurada")</f>
        <v/>
      </c>
    </row>
    <row r="40" ht="15" customHeight="1" s="47">
      <c r="A40" s="63">
        <f>Tracado_Perdas!B40</f>
        <v/>
      </c>
      <c r="B40" s="67">
        <f>Tensoes!I40+(Esforcos!E40+Dados!$C$35*Esforcos!F40)/Dados!$C$10/1000</f>
        <v/>
      </c>
      <c r="C40" s="67">
        <f>Tensoes!J40-(Esforcos!E40+Dados!$C$35*Esforcos!G40)/Dados!$C$10/1000</f>
        <v/>
      </c>
      <c r="D40" s="67">
        <f>Tensoes!M40</f>
        <v/>
      </c>
      <c r="E40" s="67">
        <f>Tensoes!N40</f>
        <v/>
      </c>
      <c r="F40" s="67">
        <f>Tensoes!O40</f>
        <v/>
      </c>
      <c r="G40" s="67">
        <f>Tensoes!P40</f>
        <v/>
      </c>
      <c r="H40" s="71">
        <f>IF(AND(D40&lt;=0,E40&lt;=0),"OK","NÃO")</f>
        <v/>
      </c>
      <c r="I40" s="71">
        <f>IF(AND(F40&lt;=Dados!$C$25,G40&lt;=Dados!$C$25),"OK","NÃO")</f>
        <v/>
      </c>
      <c r="J40" s="71">
        <f>IF(AND(B40&lt;=0,C40&lt;=0),"OK","NÃO")</f>
        <v/>
      </c>
      <c r="K40" s="71">
        <f>IF(AND(D40&lt;=Dados!$C$25,E40&lt;=Dados!$C$25),"OK","NÃO")</f>
        <v/>
      </c>
      <c r="L40" s="71">
        <f>IF(MAX(D40,E40)&gt;Dados!$C$25,"fissurada: verificar wk","não fissurada")</f>
        <v/>
      </c>
    </row>
    <row r="41" ht="15" customHeight="1" s="47">
      <c r="A41" s="63">
        <f>Tracado_Perdas!B41</f>
        <v/>
      </c>
      <c r="B41" s="67">
        <f>Tensoes!I41+(Esforcos!E41+Dados!$C$35*Esforcos!F41)/Dados!$C$10/1000</f>
        <v/>
      </c>
      <c r="C41" s="67">
        <f>Tensoes!J41-(Esforcos!E41+Dados!$C$35*Esforcos!G41)/Dados!$C$10/1000</f>
        <v/>
      </c>
      <c r="D41" s="67">
        <f>Tensoes!M41</f>
        <v/>
      </c>
      <c r="E41" s="67">
        <f>Tensoes!N41</f>
        <v/>
      </c>
      <c r="F41" s="67">
        <f>Tensoes!O41</f>
        <v/>
      </c>
      <c r="G41" s="67">
        <f>Tensoes!P41</f>
        <v/>
      </c>
      <c r="H41" s="71">
        <f>IF(AND(D41&lt;=0,E41&lt;=0),"OK","NÃO")</f>
        <v/>
      </c>
      <c r="I41" s="71">
        <f>IF(AND(F41&lt;=Dados!$C$25,G41&lt;=Dados!$C$25),"OK","NÃO")</f>
        <v/>
      </c>
      <c r="J41" s="71">
        <f>IF(AND(B41&lt;=0,C41&lt;=0),"OK","NÃO")</f>
        <v/>
      </c>
      <c r="K41" s="71">
        <f>IF(AND(D41&lt;=Dados!$C$25,E41&lt;=Dados!$C$25),"OK","NÃO")</f>
        <v/>
      </c>
      <c r="L41" s="71">
        <f>IF(MAX(D41,E41)&gt;Dados!$C$25,"fissurada: verificar wk","não fissurada")</f>
        <v/>
      </c>
    </row>
    <row r="42" ht="15" customHeight="1" s="47">
      <c r="A42" s="63">
        <f>Tracado_Perdas!B42</f>
        <v/>
      </c>
      <c r="B42" s="67">
        <f>Tensoes!I42+(Esforcos!E42+Dados!$C$35*Esforcos!F42)/Dados!$C$10/1000</f>
        <v/>
      </c>
      <c r="C42" s="67">
        <f>Tensoes!J42-(Esforcos!E42+Dados!$C$35*Esforcos!G42)/Dados!$C$10/1000</f>
        <v/>
      </c>
      <c r="D42" s="67">
        <f>Tensoes!M42</f>
        <v/>
      </c>
      <c r="E42" s="67">
        <f>Tensoes!N42</f>
        <v/>
      </c>
      <c r="F42" s="67">
        <f>Tensoes!O42</f>
        <v/>
      </c>
      <c r="G42" s="67">
        <f>Tensoes!P42</f>
        <v/>
      </c>
      <c r="H42" s="71">
        <f>IF(AND(D42&lt;=0,E42&lt;=0),"OK","NÃO")</f>
        <v/>
      </c>
      <c r="I42" s="71">
        <f>IF(AND(F42&lt;=Dados!$C$25,G42&lt;=Dados!$C$25),"OK","NÃO")</f>
        <v/>
      </c>
      <c r="J42" s="71">
        <f>IF(AND(B42&lt;=0,C42&lt;=0),"OK","NÃO")</f>
        <v/>
      </c>
      <c r="K42" s="71">
        <f>IF(AND(D42&lt;=Dados!$C$25,E42&lt;=Dados!$C$25),"OK","NÃO")</f>
        <v/>
      </c>
      <c r="L42" s="71">
        <f>IF(MAX(D42,E42)&gt;Dados!$C$25,"fissurada: verificar wk","não fissurada")</f>
        <v/>
      </c>
    </row>
    <row r="43" ht="15" customHeight="1" s="47">
      <c r="A43" s="63">
        <f>Tracado_Perdas!B43</f>
        <v/>
      </c>
      <c r="B43" s="67">
        <f>Tensoes!I43+(Esforcos!E43+Dados!$C$35*Esforcos!F43)/Dados!$C$10/1000</f>
        <v/>
      </c>
      <c r="C43" s="67">
        <f>Tensoes!J43-(Esforcos!E43+Dados!$C$35*Esforcos!G43)/Dados!$C$10/1000</f>
        <v/>
      </c>
      <c r="D43" s="67">
        <f>Tensoes!M43</f>
        <v/>
      </c>
      <c r="E43" s="67">
        <f>Tensoes!N43</f>
        <v/>
      </c>
      <c r="F43" s="67">
        <f>Tensoes!O43</f>
        <v/>
      </c>
      <c r="G43" s="67">
        <f>Tensoes!P43</f>
        <v/>
      </c>
      <c r="H43" s="71">
        <f>IF(AND(D43&lt;=0,E43&lt;=0),"OK","NÃO")</f>
        <v/>
      </c>
      <c r="I43" s="71">
        <f>IF(AND(F43&lt;=Dados!$C$25,G43&lt;=Dados!$C$25),"OK","NÃO")</f>
        <v/>
      </c>
      <c r="J43" s="71">
        <f>IF(AND(B43&lt;=0,C43&lt;=0),"OK","NÃO")</f>
        <v/>
      </c>
      <c r="K43" s="71">
        <f>IF(AND(D43&lt;=Dados!$C$25,E43&lt;=Dados!$C$25),"OK","NÃO")</f>
        <v/>
      </c>
      <c r="L43" s="71">
        <f>IF(MAX(D43,E43)&gt;Dados!$C$25,"fissurada: verificar wk","não fissurada")</f>
        <v/>
      </c>
    </row>
    <row r="44" ht="15" customHeight="1" s="47">
      <c r="A44" s="63">
        <f>Tracado_Perdas!B44</f>
        <v/>
      </c>
      <c r="B44" s="67">
        <f>Tensoes!I44+(Esforcos!E44+Dados!$C$35*Esforcos!F44)/Dados!$C$10/1000</f>
        <v/>
      </c>
      <c r="C44" s="67">
        <f>Tensoes!J44-(Esforcos!E44+Dados!$C$35*Esforcos!G44)/Dados!$C$10/1000</f>
        <v/>
      </c>
      <c r="D44" s="67">
        <f>Tensoes!M44</f>
        <v/>
      </c>
      <c r="E44" s="67">
        <f>Tensoes!N44</f>
        <v/>
      </c>
      <c r="F44" s="67">
        <f>Tensoes!O44</f>
        <v/>
      </c>
      <c r="G44" s="67">
        <f>Tensoes!P44</f>
        <v/>
      </c>
      <c r="H44" s="71">
        <f>IF(AND(D44&lt;=0,E44&lt;=0),"OK","NÃO")</f>
        <v/>
      </c>
      <c r="I44" s="71">
        <f>IF(AND(F44&lt;=Dados!$C$25,G44&lt;=Dados!$C$25),"OK","NÃO")</f>
        <v/>
      </c>
      <c r="J44" s="71">
        <f>IF(AND(B44&lt;=0,C44&lt;=0),"OK","NÃO")</f>
        <v/>
      </c>
      <c r="K44" s="71">
        <f>IF(AND(D44&lt;=Dados!$C$25,E44&lt;=Dados!$C$25),"OK","NÃO")</f>
        <v/>
      </c>
      <c r="L44" s="71">
        <f>IF(MAX(D44,E44)&gt;Dados!$C$25,"fissurada: verificar wk","não fissurada")</f>
        <v/>
      </c>
    </row>
    <row r="45" ht="15" customHeight="1" s="47">
      <c r="A45" s="63">
        <f>Tracado_Perdas!B45</f>
        <v/>
      </c>
      <c r="B45" s="67">
        <f>Tensoes!I45+(Esforcos!E45+Dados!$C$35*Esforcos!F45)/Dados!$C$10/1000</f>
        <v/>
      </c>
      <c r="C45" s="67">
        <f>Tensoes!J45-(Esforcos!E45+Dados!$C$35*Esforcos!G45)/Dados!$C$10/1000</f>
        <v/>
      </c>
      <c r="D45" s="67">
        <f>Tensoes!M45</f>
        <v/>
      </c>
      <c r="E45" s="67">
        <f>Tensoes!N45</f>
        <v/>
      </c>
      <c r="F45" s="67">
        <f>Tensoes!O45</f>
        <v/>
      </c>
      <c r="G45" s="67">
        <f>Tensoes!P45</f>
        <v/>
      </c>
      <c r="H45" s="71">
        <f>IF(AND(D45&lt;=0,E45&lt;=0),"OK","NÃO")</f>
        <v/>
      </c>
      <c r="I45" s="71">
        <f>IF(AND(F45&lt;=Dados!$C$25,G45&lt;=Dados!$C$25),"OK","NÃO")</f>
        <v/>
      </c>
      <c r="J45" s="71">
        <f>IF(AND(B45&lt;=0,C45&lt;=0),"OK","NÃO")</f>
        <v/>
      </c>
      <c r="K45" s="71">
        <f>IF(AND(D45&lt;=Dados!$C$25,E45&lt;=Dados!$C$25),"OK","NÃO")</f>
        <v/>
      </c>
      <c r="L45" s="71">
        <f>IF(MAX(D45,E45)&gt;Dados!$C$25,"fissurada: verificar wk","não fissurada")</f>
        <v/>
      </c>
    </row>
    <row r="46" ht="15" customHeight="1" s="47">
      <c r="A46" s="63">
        <f>Tracado_Perdas!B46</f>
        <v/>
      </c>
      <c r="B46" s="67">
        <f>Tensoes!I46+(Esforcos!E46+Dados!$C$35*Esforcos!F46)/Dados!$C$10/1000</f>
        <v/>
      </c>
      <c r="C46" s="67">
        <f>Tensoes!J46-(Esforcos!E46+Dados!$C$35*Esforcos!G46)/Dados!$C$10/1000</f>
        <v/>
      </c>
      <c r="D46" s="67">
        <f>Tensoes!M46</f>
        <v/>
      </c>
      <c r="E46" s="67">
        <f>Tensoes!N46</f>
        <v/>
      </c>
      <c r="F46" s="67">
        <f>Tensoes!O46</f>
        <v/>
      </c>
      <c r="G46" s="67">
        <f>Tensoes!P46</f>
        <v/>
      </c>
      <c r="H46" s="71">
        <f>IF(AND(D46&lt;=0,E46&lt;=0),"OK","NÃO")</f>
        <v/>
      </c>
      <c r="I46" s="71">
        <f>IF(AND(F46&lt;=Dados!$C$25,G46&lt;=Dados!$C$25),"OK","NÃO")</f>
        <v/>
      </c>
      <c r="J46" s="71">
        <f>IF(AND(B46&lt;=0,C46&lt;=0),"OK","NÃO")</f>
        <v/>
      </c>
      <c r="K46" s="71">
        <f>IF(AND(D46&lt;=Dados!$C$25,E46&lt;=Dados!$C$25),"OK","NÃO")</f>
        <v/>
      </c>
      <c r="L46" s="71">
        <f>IF(MAX(D46,E46)&gt;Dados!$C$25,"fissurada: verificar wk","não fissurada")</f>
        <v/>
      </c>
    </row>
    <row r="47" ht="15" customHeight="1" s="47">
      <c r="A47" s="63">
        <f>Tracado_Perdas!B47</f>
        <v/>
      </c>
      <c r="B47" s="67">
        <f>Tensoes!I47+(Esforcos!E47+Dados!$C$35*Esforcos!F47)/Dados!$C$10/1000</f>
        <v/>
      </c>
      <c r="C47" s="67">
        <f>Tensoes!J47-(Esforcos!E47+Dados!$C$35*Esforcos!G47)/Dados!$C$10/1000</f>
        <v/>
      </c>
      <c r="D47" s="67">
        <f>Tensoes!M47</f>
        <v/>
      </c>
      <c r="E47" s="67">
        <f>Tensoes!N47</f>
        <v/>
      </c>
      <c r="F47" s="67">
        <f>Tensoes!O47</f>
        <v/>
      </c>
      <c r="G47" s="67">
        <f>Tensoes!P47</f>
        <v/>
      </c>
      <c r="H47" s="71">
        <f>IF(AND(D47&lt;=0,E47&lt;=0),"OK","NÃO")</f>
        <v/>
      </c>
      <c r="I47" s="71">
        <f>IF(AND(F47&lt;=Dados!$C$25,G47&lt;=Dados!$C$25),"OK","NÃO")</f>
        <v/>
      </c>
      <c r="J47" s="71">
        <f>IF(AND(B47&lt;=0,C47&lt;=0),"OK","NÃO")</f>
        <v/>
      </c>
      <c r="K47" s="71">
        <f>IF(AND(D47&lt;=Dados!$C$25,E47&lt;=Dados!$C$25),"OK","NÃO")</f>
        <v/>
      </c>
      <c r="L47" s="71">
        <f>IF(MAX(D47,E47)&gt;Dados!$C$25,"fissurada: verificar wk","não fissurada")</f>
        <v/>
      </c>
    </row>
    <row r="48" ht="15" customHeight="1" s="47">
      <c r="A48" s="63">
        <f>Tracado_Perdas!B48</f>
        <v/>
      </c>
      <c r="B48" s="67">
        <f>Tensoes!I48+(Esforcos!E48+Dados!$C$35*Esforcos!F48)/Dados!$C$10/1000</f>
        <v/>
      </c>
      <c r="C48" s="67">
        <f>Tensoes!J48-(Esforcos!E48+Dados!$C$35*Esforcos!G48)/Dados!$C$10/1000</f>
        <v/>
      </c>
      <c r="D48" s="67">
        <f>Tensoes!M48</f>
        <v/>
      </c>
      <c r="E48" s="67">
        <f>Tensoes!N48</f>
        <v/>
      </c>
      <c r="F48" s="67">
        <f>Tensoes!O48</f>
        <v/>
      </c>
      <c r="G48" s="67">
        <f>Tensoes!P48</f>
        <v/>
      </c>
      <c r="H48" s="71">
        <f>IF(AND(D48&lt;=0,E48&lt;=0),"OK","NÃO")</f>
        <v/>
      </c>
      <c r="I48" s="71">
        <f>IF(AND(F48&lt;=Dados!$C$25,G48&lt;=Dados!$C$25),"OK","NÃO")</f>
        <v/>
      </c>
      <c r="J48" s="71">
        <f>IF(AND(B48&lt;=0,C48&lt;=0),"OK","NÃO")</f>
        <v/>
      </c>
      <c r="K48" s="71">
        <f>IF(AND(D48&lt;=Dados!$C$25,E48&lt;=Dados!$C$25),"OK","NÃO")</f>
        <v/>
      </c>
      <c r="L48" s="71">
        <f>IF(MAX(D48,E48)&gt;Dados!$C$25,"fissurada: verificar wk","não fissurada")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E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6" customWidth="1" style="46" min="1" max="1"/>
    <col width="8" customWidth="1" style="46" min="2" max="2"/>
    <col width="26" customWidth="1" style="46" min="3" max="5"/>
  </cols>
  <sheetData>
    <row r="1" ht="16.15" customHeight="1" s="47">
      <c r="A1" s="59" t="inlineStr">
        <is>
          <t>Comparativo dos níveis de protensão - mesma seção 30×90, C30, CAA II, traçado e = 28 cm</t>
        </is>
      </c>
    </row>
    <row r="2" ht="15" customHeight="1" s="47">
      <c r="A2" s="49" t="inlineStr">
        <is>
          <t>Cordoalhas por cabo e áreas são fórmulas; margens, P∞, armaduras e flechas vêm do motor de cálculo (Python), rodado com a mesma metodologia das demais abas. Para conferir um nível, altere ncord em Dados e leia a aba Niveis.</t>
        </is>
      </c>
    </row>
    <row r="4" ht="27.75" customHeight="1" s="47">
      <c r="A4" s="85" t="inlineStr">
        <is>
          <t>Grandeza</t>
        </is>
      </c>
      <c r="B4" s="85" t="inlineStr">
        <is>
          <t>Unid.</t>
        </is>
      </c>
      <c r="C4" s="85" t="inlineStr">
        <is>
          <t>Nível 3 - completa</t>
        </is>
      </c>
      <c r="D4" s="85" t="inlineStr">
        <is>
          <t>Nível 2 - limitada</t>
        </is>
      </c>
      <c r="E4" s="85" t="inlineStr">
        <is>
          <t>Nível 1 - parcial</t>
        </is>
      </c>
    </row>
    <row r="5" ht="15" customHeight="1" s="47">
      <c r="A5" s="54" t="inlineStr">
        <is>
          <t>Critério ELS-D</t>
        </is>
      </c>
      <c r="B5" s="54" t="n"/>
      <c r="C5" s="86" t="inlineStr">
        <is>
          <t>CF: σ ≤ 0</t>
        </is>
      </c>
      <c r="D5" s="86" t="inlineStr">
        <is>
          <t>CQP: σ ≤ 0</t>
        </is>
      </c>
      <c r="E5" s="86" t="inlineStr">
        <is>
          <t>não exigido</t>
        </is>
      </c>
    </row>
    <row r="6" ht="15" customHeight="1" s="47">
      <c r="A6" s="54" t="inlineStr">
        <is>
          <t>Critério ELS-F</t>
        </is>
      </c>
      <c r="B6" s="54" t="n"/>
      <c r="C6" s="86" t="inlineStr">
        <is>
          <t>CR: σ ≤ 1,2·fctk,inf</t>
        </is>
      </c>
      <c r="D6" s="86" t="inlineStr">
        <is>
          <t>CF: σ ≤ 1,2·fctk,inf</t>
        </is>
      </c>
      <c r="E6" s="86" t="inlineStr">
        <is>
          <t>não exigido</t>
        </is>
      </c>
    </row>
    <row r="7" ht="15" customHeight="1" s="47">
      <c r="A7" s="54" t="inlineStr">
        <is>
          <t>Critério ELS-W</t>
        </is>
      </c>
      <c r="B7" s="54" t="n"/>
      <c r="C7" s="86" t="inlineStr">
        <is>
          <t>não exigido</t>
        </is>
      </c>
      <c r="D7" s="86" t="inlineStr">
        <is>
          <t>não exigido</t>
        </is>
      </c>
      <c r="E7" s="86" t="inlineStr">
        <is>
          <t>CF: wk ≤ 0,2 mm</t>
        </is>
      </c>
    </row>
    <row r="8" ht="15" customHeight="1" s="47">
      <c r="A8" s="54" t="inlineStr">
        <is>
          <t>Cordoalhas por cabo (2 cabos)</t>
        </is>
      </c>
      <c r="B8" s="54" t="n"/>
      <c r="C8" s="87" t="n">
        <v>5</v>
      </c>
      <c r="D8" s="87" t="n">
        <v>4</v>
      </c>
      <c r="E8" s="87" t="n">
        <v>2</v>
      </c>
    </row>
    <row r="9" ht="15" customHeight="1" s="47">
      <c r="A9" s="54" t="inlineStr">
        <is>
          <t>Cordoalhas totais Ø12,7</t>
        </is>
      </c>
      <c r="B9" s="54" t="n"/>
      <c r="C9" s="88">
        <f>2*C8</f>
        <v/>
      </c>
      <c r="D9" s="88">
        <f>2*D8</f>
        <v/>
      </c>
      <c r="E9" s="88">
        <f>2*E8</f>
        <v/>
      </c>
    </row>
    <row r="10" ht="15" customHeight="1" s="47">
      <c r="A10" s="54" t="inlineStr">
        <is>
          <t>Ap</t>
        </is>
      </c>
      <c r="B10" s="54" t="inlineStr">
        <is>
          <t>cm²</t>
        </is>
      </c>
      <c r="C10" s="89">
        <f>C9*Dados!$C$58</f>
        <v/>
      </c>
      <c r="D10" s="89">
        <f>D9*Dados!$C$58</f>
        <v/>
      </c>
      <c r="E10" s="89">
        <f>E9*Dados!$C$58</f>
        <v/>
      </c>
    </row>
    <row r="11" ht="15" customHeight="1" s="47">
      <c r="A11" s="54" t="inlineStr">
        <is>
          <t>Pj = 0,74·fptk·Ap</t>
        </is>
      </c>
      <c r="B11" s="54" t="inlineStr">
        <is>
          <t>kN</t>
        </is>
      </c>
      <c r="C11" s="88">
        <f>0.74*Dados!$C$60*C10/10</f>
        <v/>
      </c>
      <c r="D11" s="88">
        <f>0.74*Dados!$C$60*D10/10</f>
        <v/>
      </c>
      <c r="E11" s="88">
        <f>0.74*Dados!$C$60*E10/10</f>
        <v/>
      </c>
    </row>
    <row r="12" ht="15" customHeight="1" s="47">
      <c r="A12" s="54" t="inlineStr">
        <is>
          <t>P∞ mín (após todas as perdas)</t>
        </is>
      </c>
      <c r="B12" s="54" t="inlineStr">
        <is>
          <t>kN</t>
        </is>
      </c>
      <c r="C12" s="90" t="n">
        <v>939</v>
      </c>
      <c r="D12" s="90" t="n">
        <v>776</v>
      </c>
      <c r="E12" s="90" t="n">
        <v>411</v>
      </c>
    </row>
    <row r="13" ht="15" customHeight="1" s="47">
      <c r="A13" s="54" t="inlineStr">
        <is>
          <t>P∞ máx</t>
        </is>
      </c>
      <c r="B13" s="54" t="inlineStr">
        <is>
          <t>kN</t>
        </is>
      </c>
      <c r="C13" s="90" t="n">
        <v>1050</v>
      </c>
      <c r="D13" s="90" t="n">
        <v>853</v>
      </c>
      <c r="E13" s="90" t="n">
        <v>442</v>
      </c>
    </row>
    <row r="14" ht="15" customHeight="1" s="47">
      <c r="A14" s="54" t="inlineStr">
        <is>
          <t>Carga equilibrada 8·f·P∞,mín/L²</t>
        </is>
      </c>
      <c r="B14" s="54" t="inlineStr">
        <is>
          <t>kN/m</t>
        </is>
      </c>
      <c r="C14" s="91">
        <f>8*(Dados!$C$44+Dados!$C$45/2)*C12/Dados!$C$5^2</f>
        <v/>
      </c>
      <c r="D14" s="91">
        <f>8*(Dados!$C$44+Dados!$C$45/2)*D12/Dados!$C$5^2</f>
        <v/>
      </c>
      <c r="E14" s="91">
        <f>8*(Dados!$C$44+Dados!$C$45/2)*E12/Dados!$C$5^2</f>
        <v/>
      </c>
    </row>
    <row r="15" ht="15" customHeight="1" s="47">
      <c r="A15" s="54" t="inlineStr">
        <is>
          <t>Fração de g+ψ2q equilibrada</t>
        </is>
      </c>
      <c r="B15" s="54" t="inlineStr">
        <is>
          <t>%</t>
        </is>
      </c>
      <c r="C15" s="88">
        <f>C14/Dados!$C$36*100</f>
        <v/>
      </c>
      <c r="D15" s="88">
        <f>D14/Dados!$C$36*100</f>
        <v/>
      </c>
      <c r="E15" s="88">
        <f>E14/Dados!$C$36*100</f>
        <v/>
      </c>
    </row>
    <row r="16" ht="15" customHeight="1" s="47">
      <c r="A16" s="54" t="inlineStr">
        <is>
          <t>Margem ELS-D do critério do nível</t>
        </is>
      </c>
      <c r="B16" s="54" t="inlineStr">
        <is>
          <t>MPa</t>
        </is>
      </c>
      <c r="C16" s="90" t="n">
        <v>0.45</v>
      </c>
      <c r="D16" s="90" t="n">
        <v>1.04</v>
      </c>
      <c r="E16" s="90" t="inlineStr">
        <is>
          <t>n/a</t>
        </is>
      </c>
    </row>
    <row r="17" ht="15" customHeight="1" s="47">
      <c r="A17" s="54" t="inlineStr">
        <is>
          <t>Margem ELS-F do critério do nível</t>
        </is>
      </c>
      <c r="B17" s="54" t="inlineStr">
        <is>
          <t>MPa</t>
        </is>
      </c>
      <c r="C17" s="90" t="n">
        <v>0.6</v>
      </c>
      <c r="D17" s="90" t="n">
        <v>3.14</v>
      </c>
      <c r="E17" s="90" t="inlineStr">
        <is>
          <t>n/a</t>
        </is>
      </c>
    </row>
    <row r="18" ht="15" customHeight="1" s="47">
      <c r="A18" s="54" t="inlineStr">
        <is>
          <t>Atende ao nível 3?</t>
        </is>
      </c>
      <c r="B18" s="54" t="n"/>
      <c r="C18" s="86" t="inlineStr">
        <is>
          <t>sim</t>
        </is>
      </c>
      <c r="D18" s="86" t="inlineStr">
        <is>
          <t>não (ELS-F rara: -1,49 MPa)</t>
        </is>
      </c>
      <c r="E18" s="86" t="inlineStr">
        <is>
          <t>não</t>
        </is>
      </c>
    </row>
    <row r="19" ht="15" customHeight="1" s="47">
      <c r="A19" s="54" t="inlineStr">
        <is>
          <t>Atende ao nível 2?</t>
        </is>
      </c>
      <c r="B19" s="54" t="n"/>
      <c r="C19" s="86" t="inlineStr">
        <is>
          <t>sim</t>
        </is>
      </c>
      <c r="D19" s="86" t="inlineStr">
        <is>
          <t>sim</t>
        </is>
      </c>
      <c r="E19" s="86" t="inlineStr">
        <is>
          <t>não (ELS-D CQP)</t>
        </is>
      </c>
    </row>
    <row r="20" ht="15" customHeight="1" s="47">
      <c r="A20" s="54" t="inlineStr">
        <is>
          <t>Tração máx. na comb. frequente</t>
        </is>
      </c>
      <c r="B20" s="54" t="inlineStr">
        <is>
          <t>MPa</t>
        </is>
      </c>
      <c r="C20" s="90" t="n">
        <v>-0.45</v>
      </c>
      <c r="D20" s="90" t="n">
        <v>-0.7</v>
      </c>
      <c r="E20" s="90" t="n">
        <v>3.94</v>
      </c>
    </row>
    <row r="21" ht="15" customHeight="1" s="47">
      <c r="A21" s="54" t="inlineStr">
        <is>
          <t>Armadura passiva do ato (σs = 250 MPa)</t>
        </is>
      </c>
      <c r="B21" s="54" t="inlineStr">
        <is>
          <t>cm²</t>
        </is>
      </c>
      <c r="C21" s="90" t="n">
        <v>4.9</v>
      </c>
      <c r="D21" s="90" t="n">
        <v>3.2</v>
      </c>
      <c r="E21" s="90" t="n">
        <v>0</v>
      </c>
    </row>
    <row r="22" ht="15" customHeight="1" s="47">
      <c r="A22" s="54" t="inlineStr">
        <is>
          <t>Armadura passiva tracionada no apoio B (ELU)</t>
        </is>
      </c>
      <c r="B22" s="54" t="inlineStr">
        <is>
          <t>cm²</t>
        </is>
      </c>
      <c r="C22" s="86" t="inlineStr">
        <is>
          <t>— (A' = 4,9)</t>
        </is>
      </c>
      <c r="D22" s="86" t="inlineStr">
        <is>
          <t>2 Ø16 = 4,0</t>
        </is>
      </c>
      <c r="E22" s="86" t="inlineStr">
        <is>
          <t>4 Ø20 = 12,6</t>
        </is>
      </c>
    </row>
    <row r="23" ht="15" customHeight="1" s="47">
      <c r="A23" s="54" t="inlineStr">
        <is>
          <t>Armadura passiva tracionada no vão (ELU)</t>
        </is>
      </c>
      <c r="B23" s="54" t="inlineStr">
        <is>
          <t>cm²</t>
        </is>
      </c>
      <c r="C23" s="86" t="inlineStr">
        <is>
          <t>—</t>
        </is>
      </c>
      <c r="D23" s="86" t="inlineStr">
        <is>
          <t>não necessária</t>
        </is>
      </c>
      <c r="E23" s="86" t="inlineStr">
        <is>
          <t>2 Ø20 = 6,3</t>
        </is>
      </c>
    </row>
    <row r="24" ht="15" customHeight="1" s="47">
      <c r="A24" s="54" t="inlineStr">
        <is>
          <t>MRd/Msd no apoio B</t>
        </is>
      </c>
      <c r="B24" s="54" t="n"/>
      <c r="C24" s="90" t="n">
        <v>1.26</v>
      </c>
      <c r="D24" s="90" t="n">
        <v>1.14</v>
      </c>
      <c r="E24" s="90" t="n">
        <v>1.01</v>
      </c>
    </row>
    <row r="25" ht="15" customHeight="1" s="47">
      <c r="A25" s="54" t="inlineStr">
        <is>
          <t>MRd/Msd no vão</t>
        </is>
      </c>
      <c r="B25" s="54" t="n"/>
      <c r="C25" s="90" t="n">
        <v>1.6</v>
      </c>
      <c r="D25" s="90" t="n">
        <v>1.31</v>
      </c>
      <c r="E25" s="90" t="n">
        <v>1.09</v>
      </c>
    </row>
    <row r="26" ht="15" customHeight="1" s="47">
      <c r="A26" s="54" t="inlineStr">
        <is>
          <t>wk na comb. frequente (apoio B)</t>
        </is>
      </c>
      <c r="B26" s="54" t="inlineStr">
        <is>
          <t>mm</t>
        </is>
      </c>
      <c r="C26" s="86" t="inlineStr">
        <is>
          <t>não fissura</t>
        </is>
      </c>
      <c r="D26" s="86" t="inlineStr">
        <is>
          <t>não fissura</t>
        </is>
      </c>
      <c r="E26" s="86" t="n">
        <v>0.03</v>
      </c>
    </row>
    <row r="27" ht="15" customHeight="1" s="47">
      <c r="A27" s="54" t="inlineStr">
        <is>
          <t>Flecha final (qp, com fluência; + para baixo)</t>
        </is>
      </c>
      <c r="B27" s="54" t="inlineStr">
        <is>
          <t>mm</t>
        </is>
      </c>
      <c r="C27" s="90" t="n">
        <v>-2.8</v>
      </c>
      <c r="D27" s="90" t="n">
        <v>-0.2</v>
      </c>
      <c r="E27" s="90" t="n">
        <v>5.4</v>
      </c>
    </row>
    <row r="28" ht="15" customHeight="1" s="47">
      <c r="A28" s="54" t="inlineStr">
        <is>
          <t>Massa de aço ativo (cabo de 20,09 m, 0,793 kg/m por cordoalha)</t>
        </is>
      </c>
      <c r="B28" s="54" t="inlineStr">
        <is>
          <t>kg</t>
        </is>
      </c>
      <c r="C28" s="88">
        <f>C9*20.09*0.793</f>
        <v/>
      </c>
      <c r="D28" s="88">
        <f>D9*20.09*0.793</f>
        <v/>
      </c>
      <c r="E28" s="88">
        <f>E9*20.09*0.793</f>
        <v/>
      </c>
    </row>
    <row r="29" ht="15" customHeight="1" s="47">
      <c r="A29" s="54" t="inlineStr">
        <is>
          <t>P∞ em x = 4 m</t>
        </is>
      </c>
      <c r="B29" s="54" t="inlineStr">
        <is>
          <t>kN</t>
        </is>
      </c>
      <c r="C29" s="90" t="n">
        <v>942</v>
      </c>
      <c r="D29" s="90" t="n">
        <v>779</v>
      </c>
      <c r="E29" s="90" t="n">
        <v>416</v>
      </c>
    </row>
    <row r="30" ht="15" customHeight="1" s="47">
      <c r="A30" s="54" t="inlineStr">
        <is>
          <t>P∞ no apoio central B</t>
        </is>
      </c>
      <c r="B30" s="54" t="inlineStr">
        <is>
          <t>kN</t>
        </is>
      </c>
      <c r="C30" s="90" t="n">
        <v>976</v>
      </c>
      <c r="D30" s="90" t="n">
        <v>806</v>
      </c>
      <c r="E30" s="90" t="n">
        <v>431</v>
      </c>
    </row>
    <row r="31" ht="15" customHeight="1" s="47">
      <c r="A31" s="54" t="inlineStr">
        <is>
          <t>Diâmetro externo da bainha (nível 2 e 1: adotado)</t>
        </is>
      </c>
      <c r="B31" s="54" t="inlineStr">
        <is>
          <t>mm</t>
        </is>
      </c>
      <c r="C31" s="90" t="n">
        <v>61</v>
      </c>
      <c r="D31" s="90" t="n">
        <v>55</v>
      </c>
      <c r="E31" s="90" t="n">
        <v>45</v>
      </c>
    </row>
    <row r="32" ht="15" customHeight="1" s="47">
      <c r="A32" s="54" t="inlineStr">
        <is>
          <t>Alongamento por extremidade (depende só do atrito)</t>
        </is>
      </c>
      <c r="B32" s="54" t="inlineStr">
        <is>
          <t>mm</t>
        </is>
      </c>
      <c r="C32" s="90" t="n">
        <v>67.40000000000001</v>
      </c>
      <c r="D32" s="90" t="n">
        <v>67.40000000000001</v>
      </c>
      <c r="E32" s="90" t="n">
        <v>67.40000000000001</v>
      </c>
    </row>
    <row r="33" ht="23.85" customHeight="1" s="47">
      <c r="A33" s="54" t="inlineStr">
        <is>
          <t>Desenho DXF 1:50 (A2)</t>
        </is>
      </c>
      <c r="B33" s="54" t="n"/>
      <c r="C33" s="86" t="inlineStr">
        <is>
          <t>Viga_Continua_CP_Forma_e_Cabos.dxf</t>
        </is>
      </c>
      <c r="D33" s="86" t="inlineStr">
        <is>
          <t>Viga_Continua_CP_Nivel2_Forma_e_Cabos.dxf</t>
        </is>
      </c>
      <c r="E33" s="86" t="inlineStr">
        <is>
          <t>Viga_Continua_CP_Nivel1_Forma_e_Cabos.dxf</t>
        </is>
      </c>
    </row>
    <row r="34">
      <c r="A34" s="54" t="inlineStr">
        <is>
          <t>Tração máx. na comb. quase permanente</t>
        </is>
      </c>
      <c r="B34" s="54" t="inlineStr">
        <is>
          <t>MPa</t>
        </is>
      </c>
      <c r="C34" s="90" t="n">
        <v>-0.45</v>
      </c>
      <c r="D34" s="90" t="n">
        <v>-1.04</v>
      </c>
      <c r="E34" s="90" t="n">
        <v>3.17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2026-10-03T02:28:34Z</dcterms:created>
  <dcterms:modified xmlns:dcterms="http://purl.org/dc/terms/" xmlns:xsi="http://www.w3.org/2001/XMLSchema-instance" xsi:type="dcterms:W3CDTF">2026-10-07T00:51:01Z</dcterms:modified>
  <cp:revision>0</cp:revision>
</cp:coreProperties>
</file>